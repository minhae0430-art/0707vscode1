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밍혜\Desktop\학연생(26)\엑셀\"/>
    </mc:Choice>
  </mc:AlternateContent>
  <xr:revisionPtr revIDLastSave="0" documentId="13_ncr:1_{39A8A08F-A4C5-4B96-81E7-5BFDD7CF2D3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solver_adj" localSheetId="0" hidden="1">Sheet1!$T$7:$T$9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Sheet1!$T$7</definedName>
    <definedName name="solver_lhs2" localSheetId="0" hidden="1">Sheet1!$T$8</definedName>
    <definedName name="solver_lhs3" localSheetId="0" hidden="1">Sheet1!$T$9</definedName>
    <definedName name="solver_lhs4" localSheetId="0" hidden="1">Sheet1!$T$9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Sheet1!$Q$4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3</definedName>
    <definedName name="solver_rel3" localSheetId="0" hidden="1">1</definedName>
    <definedName name="solver_rel4" localSheetId="0" hidden="1">3</definedName>
    <definedName name="solver_rhs1" localSheetId="0" hidden="1">0</definedName>
    <definedName name="solver_rhs2" localSheetId="0" hidden="1">1</definedName>
    <definedName name="solver_rhs3" localSheetId="0" hidden="1">1</definedName>
    <definedName name="solver_rhs4" localSheetId="0" hidden="1">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" l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4" i="1"/>
  <c r="P4" i="1" s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4" i="1"/>
  <c r="Q4" i="1" l="1"/>
</calcChain>
</file>

<file path=xl/sharedStrings.xml><?xml version="1.0" encoding="utf-8"?>
<sst xmlns="http://schemas.openxmlformats.org/spreadsheetml/2006/main" count="30" uniqueCount="18">
  <si>
    <t>shear rate</t>
  </si>
  <si>
    <t>viscosity</t>
  </si>
  <si>
    <t>1/s</t>
  </si>
  <si>
    <t>Pa.s</t>
  </si>
  <si>
    <t>온도</t>
    <phoneticPr fontId="1" type="noConversion"/>
  </si>
  <si>
    <t xml:space="preserve"> </t>
    <phoneticPr fontId="1" type="noConversion"/>
  </si>
  <si>
    <t>측정횟수</t>
    <phoneticPr fontId="1" type="noConversion"/>
  </si>
  <si>
    <t>shear stress</t>
  </si>
  <si>
    <t>Pa</t>
  </si>
  <si>
    <t>40mm steel plate</t>
    <phoneticPr fontId="1" type="noConversion"/>
  </si>
  <si>
    <t>평균stress</t>
    <phoneticPr fontId="1" type="noConversion"/>
  </si>
  <si>
    <t>model</t>
    <phoneticPr fontId="1" type="noConversion"/>
  </si>
  <si>
    <t>error</t>
    <phoneticPr fontId="1" type="noConversion"/>
  </si>
  <si>
    <t>error sum</t>
    <phoneticPr fontId="1" type="noConversion"/>
  </si>
  <si>
    <t>parameter</t>
    <phoneticPr fontId="1" type="noConversion"/>
  </si>
  <si>
    <t>tau_y</t>
    <phoneticPr fontId="1" type="noConversion"/>
  </si>
  <si>
    <t>K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</si>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</sst>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altLang="ko-KR" sz="1400" b="1">
                <a:latin typeface="Arial" panose="020B0604020202020204" pitchFamily="34" charset="0"/>
                <a:cs typeface="Arial" panose="020B0604020202020204" pitchFamily="34" charset="0"/>
              </a:rPr>
              <a:t>260720_graphite_HB_Fitting</a:t>
            </a:r>
            <a:endParaRPr lang="ko-KR" altLang="en-US" sz="14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noFill/>
              <a:ln w="25400">
                <a:solidFill>
                  <a:schemeClr val="accent5"/>
                </a:solidFill>
              </a:ln>
              <a:effectLst/>
            </c:spPr>
          </c:marker>
          <c:xVal>
            <c:numRef>
              <c:f>Sheet1!$K$4:$K$34</c:f>
              <c:numCache>
                <c:formatCode>General</c:formatCode>
                <c:ptCount val="31"/>
                <c:pt idx="0">
                  <c:v>1000</c:v>
                </c:pt>
                <c:pt idx="1">
                  <c:v>631</c:v>
                </c:pt>
                <c:pt idx="2">
                  <c:v>398.1</c:v>
                </c:pt>
                <c:pt idx="3">
                  <c:v>251.2</c:v>
                </c:pt>
                <c:pt idx="4">
                  <c:v>158.5</c:v>
                </c:pt>
                <c:pt idx="5">
                  <c:v>100</c:v>
                </c:pt>
                <c:pt idx="6">
                  <c:v>63.1</c:v>
                </c:pt>
                <c:pt idx="7">
                  <c:v>39.81</c:v>
                </c:pt>
                <c:pt idx="8">
                  <c:v>25.12</c:v>
                </c:pt>
                <c:pt idx="9">
                  <c:v>15.85</c:v>
                </c:pt>
                <c:pt idx="10">
                  <c:v>10</c:v>
                </c:pt>
                <c:pt idx="11">
                  <c:v>6.31</c:v>
                </c:pt>
                <c:pt idx="12">
                  <c:v>3.9809999999999999</c:v>
                </c:pt>
                <c:pt idx="13">
                  <c:v>2.512</c:v>
                </c:pt>
                <c:pt idx="14">
                  <c:v>1.585</c:v>
                </c:pt>
                <c:pt idx="15">
                  <c:v>0.99990000000000001</c:v>
                </c:pt>
                <c:pt idx="16">
                  <c:v>0.63090000000000002</c:v>
                </c:pt>
                <c:pt idx="17">
                  <c:v>0.39810000000000001</c:v>
                </c:pt>
                <c:pt idx="18">
                  <c:v>0.25119999999999998</c:v>
                </c:pt>
                <c:pt idx="19">
                  <c:v>0.1585</c:v>
                </c:pt>
                <c:pt idx="20">
                  <c:v>0.1</c:v>
                </c:pt>
                <c:pt idx="21">
                  <c:v>6.3109999999999999E-2</c:v>
                </c:pt>
                <c:pt idx="22">
                  <c:v>3.9849999999999997E-2</c:v>
                </c:pt>
                <c:pt idx="23">
                  <c:v>2.513E-2</c:v>
                </c:pt>
                <c:pt idx="24">
                  <c:v>1.585E-2</c:v>
                </c:pt>
                <c:pt idx="25">
                  <c:v>1.001E-2</c:v>
                </c:pt>
                <c:pt idx="26" formatCode="0.00E+00">
                  <c:v>6.3099999999999996E-3</c:v>
                </c:pt>
                <c:pt idx="27" formatCode="0.00E+00">
                  <c:v>3.9639999999999996E-3</c:v>
                </c:pt>
                <c:pt idx="28" formatCode="0.00E+00">
                  <c:v>2.4910000000000002E-3</c:v>
                </c:pt>
                <c:pt idx="29" formatCode="0.00E+00">
                  <c:v>1.6000000000000001E-3</c:v>
                </c:pt>
                <c:pt idx="30" formatCode="0.00E+00">
                  <c:v>1.0189999999999999E-3</c:v>
                </c:pt>
              </c:numCache>
            </c:numRef>
          </c:xVal>
          <c:yVal>
            <c:numRef>
              <c:f>Sheet1!$N$4:$N$34</c:f>
              <c:numCache>
                <c:formatCode>General</c:formatCode>
                <c:ptCount val="31"/>
                <c:pt idx="0">
                  <c:v>273.5</c:v>
                </c:pt>
                <c:pt idx="1">
                  <c:v>204.43333333333331</c:v>
                </c:pt>
                <c:pt idx="2">
                  <c:v>152.33333333333331</c:v>
                </c:pt>
                <c:pt idx="3">
                  <c:v>112.8</c:v>
                </c:pt>
                <c:pt idx="4">
                  <c:v>82.86</c:v>
                </c:pt>
                <c:pt idx="5">
                  <c:v>60.49666666666667</c:v>
                </c:pt>
                <c:pt idx="6">
                  <c:v>43.893333333333338</c:v>
                </c:pt>
                <c:pt idx="7">
                  <c:v>31.650000000000002</c:v>
                </c:pt>
                <c:pt idx="8">
                  <c:v>22.696666666666669</c:v>
                </c:pt>
                <c:pt idx="9">
                  <c:v>16.203333333333333</c:v>
                </c:pt>
                <c:pt idx="10">
                  <c:v>11.533333333333333</c:v>
                </c:pt>
                <c:pt idx="11">
                  <c:v>8.2023333333333337</c:v>
                </c:pt>
                <c:pt idx="12">
                  <c:v>5.8463333333333338</c:v>
                </c:pt>
                <c:pt idx="13">
                  <c:v>4.1836666666666664</c:v>
                </c:pt>
                <c:pt idx="14">
                  <c:v>3.0210000000000004</c:v>
                </c:pt>
                <c:pt idx="15">
                  <c:v>2.204333333333333</c:v>
                </c:pt>
                <c:pt idx="16">
                  <c:v>1.6303333333333334</c:v>
                </c:pt>
                <c:pt idx="17">
                  <c:v>1.228</c:v>
                </c:pt>
                <c:pt idx="18">
                  <c:v>0.94366666666666665</c:v>
                </c:pt>
                <c:pt idx="19">
                  <c:v>0.74193333333333333</c:v>
                </c:pt>
                <c:pt idx="20">
                  <c:v>0.59736666666666671</c:v>
                </c:pt>
                <c:pt idx="21">
                  <c:v>0.496</c:v>
                </c:pt>
                <c:pt idx="22">
                  <c:v>0.42076666666666668</c:v>
                </c:pt>
                <c:pt idx="23">
                  <c:v>0.36243333333333333</c:v>
                </c:pt>
                <c:pt idx="24">
                  <c:v>0.3241</c:v>
                </c:pt>
                <c:pt idx="25">
                  <c:v>0.29560000000000003</c:v>
                </c:pt>
                <c:pt idx="26">
                  <c:v>0.26960000000000001</c:v>
                </c:pt>
                <c:pt idx="27">
                  <c:v>0.25273333333333331</c:v>
                </c:pt>
                <c:pt idx="28">
                  <c:v>0.23823333333333332</c:v>
                </c:pt>
                <c:pt idx="29">
                  <c:v>0.23196666666666665</c:v>
                </c:pt>
                <c:pt idx="30">
                  <c:v>0.21566666666666667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DD-4EA0-9A25-F8C873A6D888}"/>
            </c:ext>
          </c:extLst>
        </c:ser>
        <c:ser>
          <c:idx val="1"/>
          <c:order val="1"/>
          <c:tx>
            <c:v>model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Sheet1!$K$4:$K$34</c:f>
              <c:numCache>
                <c:formatCode>General</c:formatCode>
                <c:ptCount val="31"/>
                <c:pt idx="0">
                  <c:v>1000</c:v>
                </c:pt>
                <c:pt idx="1">
                  <c:v>631</c:v>
                </c:pt>
                <c:pt idx="2">
                  <c:v>398.1</c:v>
                </c:pt>
                <c:pt idx="3">
                  <c:v>251.2</c:v>
                </c:pt>
                <c:pt idx="4">
                  <c:v>158.5</c:v>
                </c:pt>
                <c:pt idx="5">
                  <c:v>100</c:v>
                </c:pt>
                <c:pt idx="6">
                  <c:v>63.1</c:v>
                </c:pt>
                <c:pt idx="7">
                  <c:v>39.81</c:v>
                </c:pt>
                <c:pt idx="8">
                  <c:v>25.12</c:v>
                </c:pt>
                <c:pt idx="9">
                  <c:v>15.85</c:v>
                </c:pt>
                <c:pt idx="10">
                  <c:v>10</c:v>
                </c:pt>
                <c:pt idx="11">
                  <c:v>6.31</c:v>
                </c:pt>
                <c:pt idx="12">
                  <c:v>3.9809999999999999</c:v>
                </c:pt>
                <c:pt idx="13">
                  <c:v>2.512</c:v>
                </c:pt>
                <c:pt idx="14">
                  <c:v>1.585</c:v>
                </c:pt>
                <c:pt idx="15">
                  <c:v>0.99990000000000001</c:v>
                </c:pt>
                <c:pt idx="16">
                  <c:v>0.63090000000000002</c:v>
                </c:pt>
                <c:pt idx="17">
                  <c:v>0.39810000000000001</c:v>
                </c:pt>
                <c:pt idx="18">
                  <c:v>0.25119999999999998</c:v>
                </c:pt>
                <c:pt idx="19">
                  <c:v>0.1585</c:v>
                </c:pt>
                <c:pt idx="20">
                  <c:v>0.1</c:v>
                </c:pt>
                <c:pt idx="21">
                  <c:v>6.3109999999999999E-2</c:v>
                </c:pt>
                <c:pt idx="22">
                  <c:v>3.9849999999999997E-2</c:v>
                </c:pt>
                <c:pt idx="23">
                  <c:v>2.513E-2</c:v>
                </c:pt>
                <c:pt idx="24">
                  <c:v>1.585E-2</c:v>
                </c:pt>
                <c:pt idx="25">
                  <c:v>1.001E-2</c:v>
                </c:pt>
                <c:pt idx="26" formatCode="0.00E+00">
                  <c:v>6.3099999999999996E-3</c:v>
                </c:pt>
                <c:pt idx="27" formatCode="0.00E+00">
                  <c:v>3.9639999999999996E-3</c:v>
                </c:pt>
                <c:pt idx="28" formatCode="0.00E+00">
                  <c:v>2.4910000000000002E-3</c:v>
                </c:pt>
                <c:pt idx="29" formatCode="0.00E+00">
                  <c:v>1.6000000000000001E-3</c:v>
                </c:pt>
                <c:pt idx="30" formatCode="0.00E+00">
                  <c:v>1.0189999999999999E-3</c:v>
                </c:pt>
              </c:numCache>
            </c:numRef>
          </c:xVal>
          <c:yVal>
            <c:numRef>
              <c:f>Sheet1!$O$4:$O$34</c:f>
              <c:numCache>
                <c:formatCode>General</c:formatCode>
                <c:ptCount val="31"/>
                <c:pt idx="0">
                  <c:v>305.0722749888227</c:v>
                </c:pt>
                <c:pt idx="1">
                  <c:v>218.82620760735617</c:v>
                </c:pt>
                <c:pt idx="2">
                  <c:v>156.96211849828833</c:v>
                </c:pt>
                <c:pt idx="3">
                  <c:v>112.61659474129144</c:v>
                </c:pt>
                <c:pt idx="4">
                  <c:v>80.814291245523336</c:v>
                </c:pt>
                <c:pt idx="5">
                  <c:v>58.005984023519119</c:v>
                </c:pt>
                <c:pt idx="6">
                  <c:v>41.655864206983367</c:v>
                </c:pt>
                <c:pt idx="7">
                  <c:v>29.927964025746061</c:v>
                </c:pt>
                <c:pt idx="8">
                  <c:v>21.521150257101834</c:v>
                </c:pt>
                <c:pt idx="9">
                  <c:v>15.492220609819404</c:v>
                </c:pt>
                <c:pt idx="10">
                  <c:v>11.16833005788609</c:v>
                </c:pt>
                <c:pt idx="11">
                  <c:v>8.0687520002259117</c:v>
                </c:pt>
                <c:pt idx="12">
                  <c:v>5.8454323871532479</c:v>
                </c:pt>
                <c:pt idx="13">
                  <c:v>4.2517085622200703</c:v>
                </c:pt>
                <c:pt idx="14">
                  <c:v>3.1087727149246733</c:v>
                </c:pt>
                <c:pt idx="15">
                  <c:v>2.2889200709849629</c:v>
                </c:pt>
                <c:pt idx="16">
                  <c:v>1.7012963152850635</c:v>
                </c:pt>
                <c:pt idx="17">
                  <c:v>1.2799804224284306</c:v>
                </c:pt>
                <c:pt idx="18">
                  <c:v>0.97784982930964626</c:v>
                </c:pt>
                <c:pt idx="19">
                  <c:v>0.76117747991149598</c:v>
                </c:pt>
                <c:pt idx="20">
                  <c:v>0.60578214786442941</c:v>
                </c:pt>
                <c:pt idx="21">
                  <c:v>0.49441942500864861</c:v>
                </c:pt>
                <c:pt idx="22">
                  <c:v>0.41463061925052247</c:v>
                </c:pt>
                <c:pt idx="23">
                  <c:v>0.35724897873167927</c:v>
                </c:pt>
                <c:pt idx="24">
                  <c:v>0.31613152548642398</c:v>
                </c:pt>
                <c:pt idx="25">
                  <c:v>0.28672632004007081</c:v>
                </c:pt>
                <c:pt idx="26">
                  <c:v>0.26555467389018406</c:v>
                </c:pt>
                <c:pt idx="27">
                  <c:v>0.2502885295298457</c:v>
                </c:pt>
                <c:pt idx="28">
                  <c:v>0.23938239959743882</c:v>
                </c:pt>
                <c:pt idx="29">
                  <c:v>0.23189654258593301</c:v>
                </c:pt>
                <c:pt idx="30">
                  <c:v>0.22637078465322413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DD-4EA0-9A25-F8C873A6D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5981808"/>
        <c:axId val="1275982288"/>
      </c:scatterChart>
      <c:valAx>
        <c:axId val="127598180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ko-KR" sz="1400">
                    <a:latin typeface="Arial" panose="020B0604020202020204" pitchFamily="34" charset="0"/>
                    <a:cs typeface="Arial" panose="020B0604020202020204" pitchFamily="34" charset="0"/>
                  </a:rPr>
                  <a:t>shear rate [1/s]</a:t>
                </a:r>
                <a:endParaRPr lang="ko-KR" altLang="en-US" sz="14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ko-KR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75982288"/>
        <c:crossesAt val="1.0000000000000002E-2"/>
        <c:crossBetween val="midCat"/>
      </c:valAx>
      <c:valAx>
        <c:axId val="127598228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ko-KR" sz="1400" b="0">
                    <a:latin typeface="Arial" panose="020B0604020202020204" pitchFamily="34" charset="0"/>
                    <a:cs typeface="Arial" panose="020B0604020202020204" pitchFamily="34" charset="0"/>
                  </a:rPr>
                  <a:t>shear stress [Pa]</a:t>
                </a:r>
                <a:endParaRPr lang="ko-KR" altLang="en-US" sz="1400" b="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3557846064926308E-2"/>
              <c:y val="0.227870153318794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ko-KR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75981808"/>
        <c:crossesAt val="1.0000000000000002E-3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12534</xdr:colOff>
      <xdr:row>1</xdr:row>
      <xdr:rowOff>18799</xdr:rowOff>
    </xdr:from>
    <xdr:to>
      <xdr:col>21</xdr:col>
      <xdr:colOff>238492</xdr:colOff>
      <xdr:row>4</xdr:row>
      <xdr:rowOff>33799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18BB87F-DD03-4199-80F6-71C2AE078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07304" y="231858"/>
          <a:ext cx="2275087" cy="654178"/>
        </a:xfrm>
        <a:prstGeom prst="rect">
          <a:avLst/>
        </a:prstGeom>
      </xdr:spPr>
    </xdr:pic>
    <xdr:clientData/>
  </xdr:twoCellAnchor>
  <xdr:twoCellAnchor>
    <xdr:from>
      <xdr:col>18</xdr:col>
      <xdr:colOff>10651</xdr:colOff>
      <xdr:row>9</xdr:row>
      <xdr:rowOff>35217</xdr:rowOff>
    </xdr:from>
    <xdr:to>
      <xdr:col>25</xdr:col>
      <xdr:colOff>419851</xdr:colOff>
      <xdr:row>25</xdr:row>
      <xdr:rowOff>31332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B943D8D-77FD-369E-0F95-AD4620F5BF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4"/>
  <sheetViews>
    <sheetView tabSelected="1" topLeftCell="G1" zoomScale="76" zoomScaleNormal="76" workbookViewId="0">
      <selection activeCell="Y4" sqref="Y4"/>
    </sheetView>
  </sheetViews>
  <sheetFormatPr defaultRowHeight="16.899999999999999" x14ac:dyDescent="0.6"/>
  <sheetData>
    <row r="1" spans="1:20" x14ac:dyDescent="0.6">
      <c r="A1" t="s">
        <v>4</v>
      </c>
      <c r="B1">
        <v>25</v>
      </c>
      <c r="C1" t="s">
        <v>5</v>
      </c>
      <c r="D1" t="s">
        <v>6</v>
      </c>
      <c r="E1">
        <v>3</v>
      </c>
      <c r="G1" t="s">
        <v>9</v>
      </c>
    </row>
    <row r="2" spans="1:20" x14ac:dyDescent="0.6">
      <c r="B2" t="s">
        <v>7</v>
      </c>
      <c r="C2" t="s">
        <v>0</v>
      </c>
      <c r="D2" t="s">
        <v>1</v>
      </c>
      <c r="F2" t="s">
        <v>7</v>
      </c>
      <c r="G2" t="s">
        <v>0</v>
      </c>
      <c r="H2" t="s">
        <v>1</v>
      </c>
      <c r="J2" t="s">
        <v>7</v>
      </c>
      <c r="K2" t="s">
        <v>0</v>
      </c>
      <c r="L2" t="s">
        <v>1</v>
      </c>
      <c r="N2" t="s">
        <v>10</v>
      </c>
      <c r="O2" t="s">
        <v>11</v>
      </c>
      <c r="P2" t="s">
        <v>12</v>
      </c>
      <c r="Q2" t="s">
        <v>13</v>
      </c>
    </row>
    <row r="3" spans="1:20" x14ac:dyDescent="0.6">
      <c r="B3" t="s">
        <v>8</v>
      </c>
      <c r="C3" t="s">
        <v>2</v>
      </c>
      <c r="D3" t="s">
        <v>3</v>
      </c>
      <c r="F3" t="s">
        <v>8</v>
      </c>
      <c r="G3" t="s">
        <v>2</v>
      </c>
      <c r="H3" t="s">
        <v>3</v>
      </c>
      <c r="J3" t="s">
        <v>8</v>
      </c>
      <c r="K3" t="s">
        <v>2</v>
      </c>
      <c r="L3" t="s">
        <v>3</v>
      </c>
    </row>
    <row r="4" spans="1:20" x14ac:dyDescent="0.6">
      <c r="B4">
        <v>277.3</v>
      </c>
      <c r="C4">
        <v>1000</v>
      </c>
      <c r="D4">
        <v>0.27729999999999999</v>
      </c>
      <c r="F4">
        <v>248.2</v>
      </c>
      <c r="G4">
        <v>1000</v>
      </c>
      <c r="H4">
        <v>0.2482</v>
      </c>
      <c r="J4">
        <v>295</v>
      </c>
      <c r="K4">
        <v>1000</v>
      </c>
      <c r="L4">
        <v>0.29499999999999998</v>
      </c>
      <c r="N4">
        <f>AVERAGE(B4,F4,J4)</f>
        <v>273.5</v>
      </c>
      <c r="O4">
        <f>$T$7+$T$8*K4^$T$9</f>
        <v>305.0722749888227</v>
      </c>
      <c r="P4">
        <f>(N4-O4)^2/O4^2</f>
        <v>1.0710414340503209E-2</v>
      </c>
      <c r="Q4">
        <f>SUM(P4:P34)</f>
        <v>4.350348445102719E-2</v>
      </c>
    </row>
    <row r="5" spans="1:20" x14ac:dyDescent="0.6">
      <c r="B5">
        <v>207.5</v>
      </c>
      <c r="C5">
        <v>631</v>
      </c>
      <c r="D5">
        <v>0.32879999999999998</v>
      </c>
      <c r="F5">
        <v>185.2</v>
      </c>
      <c r="G5">
        <v>631</v>
      </c>
      <c r="H5">
        <v>0.29349999999999998</v>
      </c>
      <c r="J5">
        <v>220.6</v>
      </c>
      <c r="K5">
        <v>631</v>
      </c>
      <c r="L5">
        <v>0.34960000000000002</v>
      </c>
      <c r="N5">
        <f t="shared" ref="N5:N34" si="0">AVERAGE(B5,F5,J5)</f>
        <v>204.43333333333331</v>
      </c>
      <c r="O5">
        <f t="shared" ref="O5:O34" si="1">$T$7+$T$8*K5^$T$9</f>
        <v>218.82620760735617</v>
      </c>
      <c r="P5">
        <f t="shared" ref="P5:P34" si="2">(N5-O5)^2/O5^2</f>
        <v>4.3260984223707751E-3</v>
      </c>
    </row>
    <row r="6" spans="1:20" x14ac:dyDescent="0.6">
      <c r="B6">
        <v>154.69999999999999</v>
      </c>
      <c r="C6">
        <v>398.1</v>
      </c>
      <c r="D6">
        <v>0.38850000000000001</v>
      </c>
      <c r="F6">
        <v>137.6</v>
      </c>
      <c r="G6">
        <v>398.1</v>
      </c>
      <c r="H6">
        <v>0.34560000000000002</v>
      </c>
      <c r="J6">
        <v>164.7</v>
      </c>
      <c r="K6">
        <v>398.1</v>
      </c>
      <c r="L6">
        <v>0.4138</v>
      </c>
      <c r="N6">
        <f t="shared" si="0"/>
        <v>152.33333333333331</v>
      </c>
      <c r="O6">
        <f t="shared" si="1"/>
        <v>156.96211849828833</v>
      </c>
      <c r="P6">
        <f t="shared" si="2"/>
        <v>8.6964968790220569E-4</v>
      </c>
      <c r="S6" t="s">
        <v>14</v>
      </c>
    </row>
    <row r="7" spans="1:20" x14ac:dyDescent="0.6">
      <c r="B7">
        <v>114.6</v>
      </c>
      <c r="C7">
        <v>251.2</v>
      </c>
      <c r="D7">
        <v>0.45619999999999999</v>
      </c>
      <c r="F7">
        <v>101.5</v>
      </c>
      <c r="G7">
        <v>251.2</v>
      </c>
      <c r="H7">
        <v>0.4042</v>
      </c>
      <c r="J7">
        <v>122.3</v>
      </c>
      <c r="K7">
        <v>251.2</v>
      </c>
      <c r="L7">
        <v>0.48670000000000002</v>
      </c>
      <c r="N7">
        <f t="shared" si="0"/>
        <v>112.8</v>
      </c>
      <c r="O7">
        <f t="shared" si="1"/>
        <v>112.61659474129144</v>
      </c>
      <c r="P7">
        <f t="shared" si="2"/>
        <v>2.6522764272318708E-6</v>
      </c>
      <c r="S7" t="s">
        <v>15</v>
      </c>
      <c r="T7">
        <v>0.21202599530593991</v>
      </c>
    </row>
    <row r="8" spans="1:20" x14ac:dyDescent="0.6">
      <c r="B8">
        <v>84.19</v>
      </c>
      <c r="C8">
        <v>158.5</v>
      </c>
      <c r="D8">
        <v>0.53120000000000001</v>
      </c>
      <c r="F8">
        <v>74.38</v>
      </c>
      <c r="G8">
        <v>158.5</v>
      </c>
      <c r="H8">
        <v>0.46929999999999999</v>
      </c>
      <c r="J8">
        <v>90.01</v>
      </c>
      <c r="K8">
        <v>158.5</v>
      </c>
      <c r="L8">
        <v>0.56789999999999996</v>
      </c>
      <c r="N8">
        <f t="shared" si="0"/>
        <v>82.86</v>
      </c>
      <c r="O8">
        <f t="shared" si="1"/>
        <v>80.814291245523336</v>
      </c>
      <c r="P8">
        <f t="shared" si="2"/>
        <v>6.4078342659352149E-4</v>
      </c>
      <c r="S8" t="s">
        <v>16</v>
      </c>
      <c r="T8">
        <v>2.0770440857002788</v>
      </c>
    </row>
    <row r="9" spans="1:20" x14ac:dyDescent="0.6">
      <c r="B9">
        <v>61.5</v>
      </c>
      <c r="C9">
        <v>100</v>
      </c>
      <c r="D9">
        <v>0.61499999999999999</v>
      </c>
      <c r="F9">
        <v>54.14</v>
      </c>
      <c r="G9">
        <v>100</v>
      </c>
      <c r="H9">
        <v>0.54139999999999999</v>
      </c>
      <c r="J9">
        <v>65.849999999999994</v>
      </c>
      <c r="K9">
        <v>100</v>
      </c>
      <c r="L9">
        <v>0.65849999999999997</v>
      </c>
      <c r="N9">
        <f t="shared" si="0"/>
        <v>60.49666666666667</v>
      </c>
      <c r="O9">
        <f t="shared" si="1"/>
        <v>58.005984023519119</v>
      </c>
      <c r="P9">
        <f t="shared" si="2"/>
        <v>1.8437039719905375E-3</v>
      </c>
      <c r="S9" t="s">
        <v>17</v>
      </c>
      <c r="T9">
        <v>0.72221836179244425</v>
      </c>
    </row>
    <row r="10" spans="1:20" x14ac:dyDescent="0.6">
      <c r="B10">
        <v>44.65</v>
      </c>
      <c r="C10">
        <v>63.1</v>
      </c>
      <c r="D10">
        <v>0.70760000000000001</v>
      </c>
      <c r="F10">
        <v>39.14</v>
      </c>
      <c r="G10">
        <v>63.1</v>
      </c>
      <c r="H10">
        <v>0.62039999999999995</v>
      </c>
      <c r="J10">
        <v>47.89</v>
      </c>
      <c r="K10">
        <v>63.1</v>
      </c>
      <c r="L10">
        <v>0.75900000000000001</v>
      </c>
      <c r="N10">
        <f t="shared" si="0"/>
        <v>43.893333333333338</v>
      </c>
      <c r="O10">
        <f t="shared" si="1"/>
        <v>41.655864206983367</v>
      </c>
      <c r="P10">
        <f t="shared" si="2"/>
        <v>2.8851062063924723E-3</v>
      </c>
    </row>
    <row r="11" spans="1:20" x14ac:dyDescent="0.6">
      <c r="B11">
        <v>32.21</v>
      </c>
      <c r="C11">
        <v>39.81</v>
      </c>
      <c r="D11">
        <v>0.80900000000000005</v>
      </c>
      <c r="F11">
        <v>28.13</v>
      </c>
      <c r="G11">
        <v>39.81</v>
      </c>
      <c r="H11">
        <v>0.70660000000000001</v>
      </c>
      <c r="J11">
        <v>34.61</v>
      </c>
      <c r="K11">
        <v>39.81</v>
      </c>
      <c r="L11">
        <v>0.86929999999999996</v>
      </c>
      <c r="N11">
        <f t="shared" si="0"/>
        <v>31.650000000000002</v>
      </c>
      <c r="O11">
        <f t="shared" si="1"/>
        <v>29.927964025746061</v>
      </c>
      <c r="P11">
        <f t="shared" si="2"/>
        <v>3.3107782495554665E-3</v>
      </c>
    </row>
    <row r="12" spans="1:20" x14ac:dyDescent="0.6">
      <c r="B12">
        <v>23.11</v>
      </c>
      <c r="C12">
        <v>25.12</v>
      </c>
      <c r="D12">
        <v>0.92</v>
      </c>
      <c r="F12">
        <v>20.11</v>
      </c>
      <c r="G12">
        <v>25.12</v>
      </c>
      <c r="H12">
        <v>0.8004</v>
      </c>
      <c r="J12">
        <v>24.87</v>
      </c>
      <c r="K12">
        <v>25.12</v>
      </c>
      <c r="L12">
        <v>0.99019999999999997</v>
      </c>
      <c r="N12">
        <f t="shared" si="0"/>
        <v>22.696666666666669</v>
      </c>
      <c r="O12">
        <f t="shared" si="1"/>
        <v>21.521150257101834</v>
      </c>
      <c r="P12">
        <f t="shared" si="2"/>
        <v>2.9835026826120544E-3</v>
      </c>
    </row>
    <row r="13" spans="1:20" x14ac:dyDescent="0.6">
      <c r="B13">
        <v>16.510000000000002</v>
      </c>
      <c r="C13">
        <v>15.85</v>
      </c>
      <c r="D13">
        <v>1.042</v>
      </c>
      <c r="F13">
        <v>14.3</v>
      </c>
      <c r="G13">
        <v>15.85</v>
      </c>
      <c r="H13">
        <v>0.90249999999999997</v>
      </c>
      <c r="J13">
        <v>17.8</v>
      </c>
      <c r="K13">
        <v>15.85</v>
      </c>
      <c r="L13">
        <v>1.123</v>
      </c>
      <c r="N13">
        <f t="shared" si="0"/>
        <v>16.203333333333333</v>
      </c>
      <c r="O13">
        <f t="shared" si="1"/>
        <v>15.492220609819404</v>
      </c>
      <c r="P13">
        <f t="shared" si="2"/>
        <v>2.1069273129389614E-3</v>
      </c>
    </row>
    <row r="14" spans="1:20" x14ac:dyDescent="0.6">
      <c r="B14">
        <v>11.76</v>
      </c>
      <c r="C14">
        <v>10</v>
      </c>
      <c r="D14">
        <v>1.1759999999999999</v>
      </c>
      <c r="F14">
        <v>10.15</v>
      </c>
      <c r="G14">
        <v>10</v>
      </c>
      <c r="H14">
        <v>1.0149999999999999</v>
      </c>
      <c r="J14">
        <v>12.69</v>
      </c>
      <c r="K14">
        <v>10</v>
      </c>
      <c r="L14">
        <v>1.2689999999999999</v>
      </c>
      <c r="N14">
        <f t="shared" si="0"/>
        <v>11.533333333333333</v>
      </c>
      <c r="O14">
        <f t="shared" si="1"/>
        <v>11.16833005788609</v>
      </c>
      <c r="P14">
        <f t="shared" si="2"/>
        <v>1.0681126118688856E-3</v>
      </c>
    </row>
    <row r="15" spans="1:20" x14ac:dyDescent="0.6">
      <c r="B15">
        <v>8.3620000000000001</v>
      </c>
      <c r="C15">
        <v>6.3090000000000002</v>
      </c>
      <c r="D15">
        <v>1.325</v>
      </c>
      <c r="F15">
        <v>7.1959999999999997</v>
      </c>
      <c r="G15">
        <v>6.31</v>
      </c>
      <c r="H15">
        <v>1.1399999999999999</v>
      </c>
      <c r="J15">
        <v>9.0489999999999995</v>
      </c>
      <c r="K15">
        <v>6.31</v>
      </c>
      <c r="L15">
        <v>1.4339999999999999</v>
      </c>
      <c r="N15">
        <f t="shared" si="0"/>
        <v>8.2023333333333337</v>
      </c>
      <c r="O15">
        <f t="shared" si="1"/>
        <v>8.0687520002259117</v>
      </c>
      <c r="P15">
        <f t="shared" si="2"/>
        <v>2.7408092545575506E-4</v>
      </c>
    </row>
    <row r="16" spans="1:20" x14ac:dyDescent="0.6">
      <c r="B16">
        <v>5.9749999999999996</v>
      </c>
      <c r="C16">
        <v>3.9809999999999999</v>
      </c>
      <c r="D16">
        <v>1.5009999999999999</v>
      </c>
      <c r="F16">
        <v>5.1150000000000002</v>
      </c>
      <c r="G16">
        <v>3.9809999999999999</v>
      </c>
      <c r="H16">
        <v>1.2849999999999999</v>
      </c>
      <c r="J16">
        <v>6.4489999999999998</v>
      </c>
      <c r="K16">
        <v>3.9809999999999999</v>
      </c>
      <c r="L16">
        <v>1.62</v>
      </c>
      <c r="N16">
        <f t="shared" si="0"/>
        <v>5.8463333333333338</v>
      </c>
      <c r="O16">
        <f t="shared" si="1"/>
        <v>5.8454323871532479</v>
      </c>
      <c r="P16">
        <f t="shared" si="2"/>
        <v>2.3755513005737852E-8</v>
      </c>
    </row>
    <row r="17" spans="2:16" x14ac:dyDescent="0.6">
      <c r="B17">
        <v>4.2789999999999999</v>
      </c>
      <c r="C17">
        <v>2.512</v>
      </c>
      <c r="D17">
        <v>1.704</v>
      </c>
      <c r="F17">
        <v>3.6549999999999998</v>
      </c>
      <c r="G17">
        <v>2.512</v>
      </c>
      <c r="H17">
        <v>1.4550000000000001</v>
      </c>
      <c r="J17">
        <v>4.617</v>
      </c>
      <c r="K17">
        <v>2.512</v>
      </c>
      <c r="L17">
        <v>1.8380000000000001</v>
      </c>
      <c r="N17">
        <f t="shared" si="0"/>
        <v>4.1836666666666664</v>
      </c>
      <c r="O17">
        <f t="shared" si="1"/>
        <v>4.2517085622200703</v>
      </c>
      <c r="P17">
        <f t="shared" si="2"/>
        <v>2.561095850518341E-4</v>
      </c>
    </row>
    <row r="18" spans="2:16" x14ac:dyDescent="0.6">
      <c r="B18">
        <v>3.089</v>
      </c>
      <c r="C18">
        <v>1.585</v>
      </c>
      <c r="D18">
        <v>1.9490000000000001</v>
      </c>
      <c r="F18">
        <v>2.6280000000000001</v>
      </c>
      <c r="G18">
        <v>1.585</v>
      </c>
      <c r="H18">
        <v>1.6579999999999999</v>
      </c>
      <c r="J18">
        <v>3.3460000000000001</v>
      </c>
      <c r="K18">
        <v>1.585</v>
      </c>
      <c r="L18">
        <v>2.1110000000000002</v>
      </c>
      <c r="N18">
        <f t="shared" si="0"/>
        <v>3.0210000000000004</v>
      </c>
      <c r="O18">
        <f t="shared" si="1"/>
        <v>3.1087727149246733</v>
      </c>
      <c r="P18">
        <f t="shared" si="2"/>
        <v>7.9715196430992777E-4</v>
      </c>
    </row>
    <row r="19" spans="2:16" x14ac:dyDescent="0.6">
      <c r="B19">
        <v>2.2610000000000001</v>
      </c>
      <c r="C19">
        <v>0.99990000000000001</v>
      </c>
      <c r="D19">
        <v>2.2610000000000001</v>
      </c>
      <c r="F19">
        <v>1.915</v>
      </c>
      <c r="G19">
        <v>0.99990000000000001</v>
      </c>
      <c r="H19">
        <v>1.915</v>
      </c>
      <c r="J19">
        <v>2.4369999999999998</v>
      </c>
      <c r="K19">
        <v>0.99990000000000001</v>
      </c>
      <c r="L19">
        <v>2.4369999999999998</v>
      </c>
      <c r="N19">
        <f t="shared" si="0"/>
        <v>2.204333333333333</v>
      </c>
      <c r="O19">
        <f t="shared" si="1"/>
        <v>2.2889200709849629</v>
      </c>
      <c r="P19">
        <f t="shared" si="2"/>
        <v>1.3656622225877539E-3</v>
      </c>
    </row>
    <row r="20" spans="2:16" x14ac:dyDescent="0.6">
      <c r="B20">
        <v>1.6739999999999999</v>
      </c>
      <c r="C20">
        <v>0.63100000000000001</v>
      </c>
      <c r="D20">
        <v>2.6539999999999999</v>
      </c>
      <c r="F20">
        <v>1.4039999999999999</v>
      </c>
      <c r="G20">
        <v>0.63090000000000002</v>
      </c>
      <c r="H20">
        <v>2.2250000000000001</v>
      </c>
      <c r="J20">
        <v>1.8129999999999999</v>
      </c>
      <c r="K20">
        <v>0.63090000000000002</v>
      </c>
      <c r="L20">
        <v>2.8740000000000001</v>
      </c>
      <c r="N20">
        <f t="shared" si="0"/>
        <v>1.6303333333333334</v>
      </c>
      <c r="O20">
        <f t="shared" si="1"/>
        <v>1.7012963152850635</v>
      </c>
      <c r="P20">
        <f t="shared" si="2"/>
        <v>1.7398178841790915E-3</v>
      </c>
    </row>
    <row r="21" spans="2:16" x14ac:dyDescent="0.6">
      <c r="B21">
        <v>1.262</v>
      </c>
      <c r="C21">
        <v>0.39810000000000001</v>
      </c>
      <c r="D21">
        <v>3.169</v>
      </c>
      <c r="F21">
        <v>1.056</v>
      </c>
      <c r="G21">
        <v>0.39810000000000001</v>
      </c>
      <c r="H21">
        <v>2.6520000000000001</v>
      </c>
      <c r="J21">
        <v>1.3660000000000001</v>
      </c>
      <c r="K21">
        <v>0.39810000000000001</v>
      </c>
      <c r="L21">
        <v>3.4319999999999999</v>
      </c>
      <c r="N21">
        <f t="shared" si="0"/>
        <v>1.228</v>
      </c>
      <c r="O21">
        <f t="shared" si="1"/>
        <v>1.2799804224284306</v>
      </c>
      <c r="P21">
        <f t="shared" si="2"/>
        <v>1.6491985905168363E-3</v>
      </c>
    </row>
    <row r="22" spans="2:16" x14ac:dyDescent="0.6">
      <c r="B22">
        <v>0.96140000000000003</v>
      </c>
      <c r="C22">
        <v>0.25119999999999998</v>
      </c>
      <c r="D22">
        <v>3.8279999999999998</v>
      </c>
      <c r="F22">
        <v>0.8266</v>
      </c>
      <c r="G22">
        <v>0.25119999999999998</v>
      </c>
      <c r="H22">
        <v>3.2909999999999999</v>
      </c>
      <c r="J22">
        <v>1.0429999999999999</v>
      </c>
      <c r="K22">
        <v>0.25119999999999998</v>
      </c>
      <c r="L22">
        <v>4.1529999999999996</v>
      </c>
      <c r="N22">
        <f t="shared" si="0"/>
        <v>0.94366666666666665</v>
      </c>
      <c r="O22">
        <f t="shared" si="1"/>
        <v>0.97784982930964626</v>
      </c>
      <c r="P22">
        <f t="shared" si="2"/>
        <v>1.2220251785744075E-3</v>
      </c>
    </row>
    <row r="23" spans="2:16" x14ac:dyDescent="0.6">
      <c r="B23">
        <v>0.76170000000000004</v>
      </c>
      <c r="C23">
        <v>0.1585</v>
      </c>
      <c r="D23">
        <v>4.8049999999999997</v>
      </c>
      <c r="F23">
        <v>0.6532</v>
      </c>
      <c r="G23">
        <v>0.1585</v>
      </c>
      <c r="H23">
        <v>4.1210000000000004</v>
      </c>
      <c r="J23">
        <v>0.81089999999999995</v>
      </c>
      <c r="K23">
        <v>0.1585</v>
      </c>
      <c r="L23">
        <v>5.1159999999999997</v>
      </c>
      <c r="N23">
        <f t="shared" si="0"/>
        <v>0.74193333333333333</v>
      </c>
      <c r="O23">
        <f t="shared" si="1"/>
        <v>0.76117747991149598</v>
      </c>
      <c r="P23">
        <f t="shared" si="2"/>
        <v>6.3918334571562093E-4</v>
      </c>
    </row>
    <row r="24" spans="2:16" x14ac:dyDescent="0.6">
      <c r="B24">
        <v>0.6159</v>
      </c>
      <c r="C24">
        <v>0.1</v>
      </c>
      <c r="D24">
        <v>6.1580000000000004</v>
      </c>
      <c r="F24">
        <v>0.53090000000000004</v>
      </c>
      <c r="G24">
        <v>9.9989999999999996E-2</v>
      </c>
      <c r="H24">
        <v>5.3090000000000002</v>
      </c>
      <c r="J24">
        <v>0.64529999999999998</v>
      </c>
      <c r="K24">
        <v>0.1</v>
      </c>
      <c r="L24">
        <v>6.452</v>
      </c>
      <c r="N24">
        <f t="shared" si="0"/>
        <v>0.59736666666666671</v>
      </c>
      <c r="O24">
        <f t="shared" si="1"/>
        <v>0.60578214786442941</v>
      </c>
      <c r="P24">
        <f t="shared" si="2"/>
        <v>1.9298562759693182E-4</v>
      </c>
    </row>
    <row r="25" spans="2:16" x14ac:dyDescent="0.6">
      <c r="B25">
        <v>0.50960000000000005</v>
      </c>
      <c r="C25">
        <v>6.3089999999999993E-2</v>
      </c>
      <c r="D25">
        <v>8.0760000000000005</v>
      </c>
      <c r="F25">
        <v>0.4486</v>
      </c>
      <c r="G25">
        <v>6.3119999999999996E-2</v>
      </c>
      <c r="H25">
        <v>7.1070000000000002</v>
      </c>
      <c r="J25">
        <v>0.52980000000000005</v>
      </c>
      <c r="K25">
        <v>6.3109999999999999E-2</v>
      </c>
      <c r="L25">
        <v>8.3949999999999996</v>
      </c>
      <c r="N25">
        <f t="shared" si="0"/>
        <v>0.496</v>
      </c>
      <c r="O25">
        <f t="shared" si="1"/>
        <v>0.49441942500864861</v>
      </c>
      <c r="P25">
        <f t="shared" si="2"/>
        <v>1.0219723870982703E-5</v>
      </c>
    </row>
    <row r="26" spans="2:16" x14ac:dyDescent="0.6">
      <c r="B26">
        <v>0.42759999999999998</v>
      </c>
      <c r="C26">
        <v>3.9820000000000001E-2</v>
      </c>
      <c r="D26">
        <v>10.74</v>
      </c>
      <c r="F26">
        <v>0.3846</v>
      </c>
      <c r="G26">
        <v>3.9789999999999999E-2</v>
      </c>
      <c r="H26">
        <v>9.6649999999999991</v>
      </c>
      <c r="J26">
        <v>0.4501</v>
      </c>
      <c r="K26">
        <v>3.9849999999999997E-2</v>
      </c>
      <c r="L26">
        <v>11.29</v>
      </c>
      <c r="N26">
        <f t="shared" si="0"/>
        <v>0.42076666666666668</v>
      </c>
      <c r="O26">
        <f t="shared" si="1"/>
        <v>0.41463061925052247</v>
      </c>
      <c r="P26">
        <f t="shared" si="2"/>
        <v>2.1900532433045803E-4</v>
      </c>
    </row>
    <row r="27" spans="2:16" x14ac:dyDescent="0.6">
      <c r="B27">
        <v>0.36659999999999998</v>
      </c>
      <c r="C27">
        <v>2.5100000000000001E-2</v>
      </c>
      <c r="D27">
        <v>14.6</v>
      </c>
      <c r="F27">
        <v>0.3372</v>
      </c>
      <c r="G27">
        <v>2.5100000000000001E-2</v>
      </c>
      <c r="H27">
        <v>13.43</v>
      </c>
      <c r="J27">
        <v>0.38350000000000001</v>
      </c>
      <c r="K27">
        <v>2.513E-2</v>
      </c>
      <c r="L27">
        <v>15.26</v>
      </c>
      <c r="N27">
        <f t="shared" si="0"/>
        <v>0.36243333333333333</v>
      </c>
      <c r="O27">
        <f t="shared" si="1"/>
        <v>0.35724897873167927</v>
      </c>
      <c r="P27">
        <f t="shared" si="2"/>
        <v>2.1059468487158862E-4</v>
      </c>
    </row>
    <row r="28" spans="2:16" x14ac:dyDescent="0.6">
      <c r="B28">
        <v>0.33410000000000001</v>
      </c>
      <c r="C28">
        <v>1.5869999999999999E-2</v>
      </c>
      <c r="D28">
        <v>21.06</v>
      </c>
      <c r="F28">
        <v>0.30549999999999999</v>
      </c>
      <c r="G28">
        <v>1.584E-2</v>
      </c>
      <c r="H28">
        <v>19.28</v>
      </c>
      <c r="J28">
        <v>0.3327</v>
      </c>
      <c r="K28">
        <v>1.585E-2</v>
      </c>
      <c r="L28">
        <v>20.98</v>
      </c>
      <c r="N28">
        <f t="shared" si="0"/>
        <v>0.3241</v>
      </c>
      <c r="O28">
        <f t="shared" si="1"/>
        <v>0.31613152548642398</v>
      </c>
      <c r="P28">
        <f t="shared" si="2"/>
        <v>6.3535252734781954E-4</v>
      </c>
    </row>
    <row r="29" spans="2:16" x14ac:dyDescent="0.6">
      <c r="B29">
        <v>0.30380000000000001</v>
      </c>
      <c r="C29">
        <v>0.01</v>
      </c>
      <c r="D29">
        <v>30.37</v>
      </c>
      <c r="F29">
        <v>0.28710000000000002</v>
      </c>
      <c r="G29">
        <v>0.01</v>
      </c>
      <c r="H29">
        <v>28.7</v>
      </c>
      <c r="J29">
        <v>0.2959</v>
      </c>
      <c r="K29">
        <v>1.001E-2</v>
      </c>
      <c r="L29">
        <v>29.55</v>
      </c>
      <c r="N29">
        <f t="shared" si="0"/>
        <v>0.29560000000000003</v>
      </c>
      <c r="O29">
        <f t="shared" si="1"/>
        <v>0.28672632004007081</v>
      </c>
      <c r="P29">
        <f t="shared" si="2"/>
        <v>9.5779463695460482E-4</v>
      </c>
    </row>
    <row r="30" spans="2:16" x14ac:dyDescent="0.6">
      <c r="B30" s="1">
        <v>0.27789999999999998</v>
      </c>
      <c r="C30" s="1">
        <v>6.3150000000000003E-3</v>
      </c>
      <c r="D30">
        <v>44.01</v>
      </c>
      <c r="F30">
        <v>0.26629999999999998</v>
      </c>
      <c r="G30" s="1">
        <v>6.2830000000000004E-3</v>
      </c>
      <c r="H30">
        <v>42.38</v>
      </c>
      <c r="J30">
        <v>0.2646</v>
      </c>
      <c r="K30" s="1">
        <v>6.3099999999999996E-3</v>
      </c>
      <c r="L30">
        <v>41.93</v>
      </c>
      <c r="N30">
        <f t="shared" si="0"/>
        <v>0.26960000000000001</v>
      </c>
      <c r="O30">
        <f t="shared" si="1"/>
        <v>0.26555467389018406</v>
      </c>
      <c r="P30">
        <f t="shared" si="2"/>
        <v>2.3205940581200082E-4</v>
      </c>
    </row>
    <row r="31" spans="2:16" x14ac:dyDescent="0.6">
      <c r="B31" s="1">
        <v>0.25850000000000001</v>
      </c>
      <c r="C31" s="1">
        <v>3.9709999999999997E-3</v>
      </c>
      <c r="D31">
        <v>65.099999999999994</v>
      </c>
      <c r="F31">
        <v>0.24759999999999999</v>
      </c>
      <c r="G31" s="1">
        <v>3.986E-3</v>
      </c>
      <c r="H31">
        <v>62.1</v>
      </c>
      <c r="J31">
        <v>0.25209999999999999</v>
      </c>
      <c r="K31" s="1">
        <v>3.9639999999999996E-3</v>
      </c>
      <c r="L31">
        <v>63.59</v>
      </c>
      <c r="N31">
        <f t="shared" si="0"/>
        <v>0.25273333333333331</v>
      </c>
      <c r="O31">
        <f t="shared" si="1"/>
        <v>0.2502885295298457</v>
      </c>
      <c r="P31">
        <f t="shared" si="2"/>
        <v>9.5412688087860914E-5</v>
      </c>
    </row>
    <row r="32" spans="2:16" x14ac:dyDescent="0.6">
      <c r="B32" s="1">
        <v>0.24329999999999999</v>
      </c>
      <c r="C32" s="1">
        <v>2.5119999999999999E-3</v>
      </c>
      <c r="D32">
        <v>96.84</v>
      </c>
      <c r="F32">
        <v>0.2351</v>
      </c>
      <c r="G32" s="1">
        <v>2.5110000000000002E-3</v>
      </c>
      <c r="H32">
        <v>93.6</v>
      </c>
      <c r="J32">
        <v>0.23630000000000001</v>
      </c>
      <c r="K32" s="1">
        <v>2.4910000000000002E-3</v>
      </c>
      <c r="L32">
        <v>94.85</v>
      </c>
      <c r="N32">
        <f t="shared" si="0"/>
        <v>0.23823333333333332</v>
      </c>
      <c r="O32">
        <f t="shared" si="1"/>
        <v>0.23938239959743882</v>
      </c>
      <c r="P32">
        <f t="shared" si="2"/>
        <v>2.3041233030967297E-5</v>
      </c>
    </row>
    <row r="33" spans="2:16" x14ac:dyDescent="0.6">
      <c r="B33" s="1">
        <v>0.23519999999999999</v>
      </c>
      <c r="C33" s="1">
        <v>1.5659999999999999E-3</v>
      </c>
      <c r="D33">
        <v>150.19999999999999</v>
      </c>
      <c r="F33">
        <v>0.23050000000000001</v>
      </c>
      <c r="G33" s="1">
        <v>1.583E-3</v>
      </c>
      <c r="H33">
        <v>145.69999999999999</v>
      </c>
      <c r="J33">
        <v>0.23019999999999999</v>
      </c>
      <c r="K33" s="1">
        <v>1.6000000000000001E-3</v>
      </c>
      <c r="L33">
        <v>143.9</v>
      </c>
      <c r="N33">
        <f t="shared" si="0"/>
        <v>0.23196666666666665</v>
      </c>
      <c r="O33">
        <f t="shared" si="1"/>
        <v>0.23189654258593301</v>
      </c>
      <c r="P33">
        <f t="shared" si="2"/>
        <v>9.1442020747562651E-8</v>
      </c>
    </row>
    <row r="34" spans="2:16" x14ac:dyDescent="0.6">
      <c r="B34" s="1">
        <v>0.22189999999999999</v>
      </c>
      <c r="C34" s="1">
        <v>9.8170000000000006E-4</v>
      </c>
      <c r="D34">
        <v>226.1</v>
      </c>
      <c r="F34">
        <v>0.21249999999999999</v>
      </c>
      <c r="G34" s="1">
        <v>1E-3</v>
      </c>
      <c r="H34">
        <v>212.4</v>
      </c>
      <c r="J34">
        <v>0.21260000000000001</v>
      </c>
      <c r="K34" s="1">
        <v>1.0189999999999999E-3</v>
      </c>
      <c r="L34">
        <v>208.6</v>
      </c>
      <c r="N34">
        <f t="shared" si="0"/>
        <v>0.21566666666666667</v>
      </c>
      <c r="O34">
        <f t="shared" si="1"/>
        <v>0.22637078465322413</v>
      </c>
      <c r="P34">
        <f t="shared" si="2"/>
        <v>2.2359445160436858E-3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 민혜</cp:lastModifiedBy>
  <dcterms:created xsi:type="dcterms:W3CDTF">2026-07-20T16:12:36Z</dcterms:created>
  <dcterms:modified xsi:type="dcterms:W3CDTF">2026-07-21T02:29:56Z</dcterms:modified>
</cp:coreProperties>
</file>