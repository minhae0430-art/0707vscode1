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밍혜\Desktop\VScode\260707_anode_visc._carreau\"/>
    </mc:Choice>
  </mc:AlternateContent>
  <xr:revisionPtr revIDLastSave="0" documentId="13_ncr:1_{BF7BFF41-323A-4494-8A13-FBC48A016C3A}" xr6:coauthVersionLast="47" xr6:coauthVersionMax="47" xr10:uidLastSave="{00000000-0000-0000-0000-000000000000}"/>
  <bookViews>
    <workbookView xWindow="-98" yWindow="-98" windowWidth="21795" windowHeight="12975" xr2:uid="{6A5865DA-A5E2-44D0-A00A-BB24EEFDC557}"/>
  </bookViews>
  <sheets>
    <sheet name="Sheet1" sheetId="1" r:id="rId1"/>
  </sheets>
  <definedNames>
    <definedName name="solver_adj" localSheetId="0" hidden="1">Sheet1!$R$7:$R$9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Sheet1!$R$7</definedName>
    <definedName name="solver_lhs2" localSheetId="0" hidden="1">Sheet1!$R$8</definedName>
    <definedName name="solver_lhs3" localSheetId="0" hidden="1">Sheet1!$R$9</definedName>
    <definedName name="solver_lhs4" localSheetId="0" hidden="1">Sheet1!$R$9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Sheet1!$Q$12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hs1" localSheetId="0" hidden="1">0</definedName>
    <definedName name="solver_rhs2" localSheetId="0" hidden="1">0</definedName>
    <definedName name="solver_rhs3" localSheetId="0" hidden="1">1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1" l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4" i="1"/>
  <c r="O4" i="1" s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4" i="1"/>
  <c r="Q12" i="1" l="1"/>
</calcChain>
</file>

<file path=xl/sharedStrings.xml><?xml version="1.0" encoding="utf-8"?>
<sst xmlns="http://schemas.openxmlformats.org/spreadsheetml/2006/main" count="27" uniqueCount="15">
  <si>
    <t>민혜</t>
    <phoneticPr fontId="1" type="noConversion"/>
  </si>
  <si>
    <t>shear stress</t>
  </si>
  <si>
    <t>shear rate</t>
  </si>
  <si>
    <t>viscosity</t>
  </si>
  <si>
    <t>Pa</t>
  </si>
  <si>
    <t>1/s</t>
  </si>
  <si>
    <t>Pa.s</t>
  </si>
  <si>
    <t>평균 stress</t>
    <phoneticPr fontId="1" type="noConversion"/>
  </si>
  <si>
    <t>parameter</t>
    <phoneticPr fontId="1" type="noConversion"/>
  </si>
  <si>
    <t>tau_y</t>
    <phoneticPr fontId="1" type="noConversion"/>
  </si>
  <si>
    <t>K</t>
    <phoneticPr fontId="1" type="noConversion"/>
  </si>
  <si>
    <t>n</t>
    <phoneticPr fontId="1" type="noConversion"/>
  </si>
  <si>
    <t>model</t>
    <phoneticPr fontId="1" type="noConversion"/>
  </si>
  <si>
    <t>error</t>
    <phoneticPr fontId="1" type="noConversion"/>
  </si>
  <si>
    <t>error 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</si>
</sst>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28575">
                <a:solidFill>
                  <a:schemeClr val="accent1"/>
                </a:solidFill>
              </a:ln>
              <a:effectLst/>
            </c:spPr>
          </c:marker>
          <c:xVal>
            <c:numRef>
              <c:f>Sheet1!$J$4:$J$25</c:f>
              <c:numCache>
                <c:formatCode>General</c:formatCode>
                <c:ptCount val="22"/>
                <c:pt idx="0">
                  <c:v>6.3109999999999999E-2</c:v>
                </c:pt>
                <c:pt idx="1">
                  <c:v>9.9970000000000003E-2</c:v>
                </c:pt>
                <c:pt idx="2">
                  <c:v>0.1585</c:v>
                </c:pt>
                <c:pt idx="3">
                  <c:v>0.25119999999999998</c:v>
                </c:pt>
                <c:pt idx="4">
                  <c:v>0.39810000000000001</c:v>
                </c:pt>
                <c:pt idx="5">
                  <c:v>0.63090000000000002</c:v>
                </c:pt>
                <c:pt idx="6">
                  <c:v>1</c:v>
                </c:pt>
                <c:pt idx="7">
                  <c:v>1.5840000000000001</c:v>
                </c:pt>
                <c:pt idx="8">
                  <c:v>2.512</c:v>
                </c:pt>
                <c:pt idx="9">
                  <c:v>3.9809999999999999</c:v>
                </c:pt>
                <c:pt idx="10">
                  <c:v>6.31</c:v>
                </c:pt>
                <c:pt idx="11">
                  <c:v>10</c:v>
                </c:pt>
                <c:pt idx="12">
                  <c:v>15.85</c:v>
                </c:pt>
                <c:pt idx="13">
                  <c:v>25.12</c:v>
                </c:pt>
                <c:pt idx="14">
                  <c:v>39.81</c:v>
                </c:pt>
                <c:pt idx="15">
                  <c:v>63.1</c:v>
                </c:pt>
                <c:pt idx="16">
                  <c:v>100</c:v>
                </c:pt>
                <c:pt idx="17">
                  <c:v>158.5</c:v>
                </c:pt>
                <c:pt idx="18">
                  <c:v>251.2</c:v>
                </c:pt>
                <c:pt idx="19">
                  <c:v>398.1</c:v>
                </c:pt>
                <c:pt idx="20">
                  <c:v>631</c:v>
                </c:pt>
                <c:pt idx="21">
                  <c:v>1000</c:v>
                </c:pt>
              </c:numCache>
            </c:numRef>
          </c:xVal>
          <c:yVal>
            <c:numRef>
              <c:f>Sheet1!$M$4:$M$25</c:f>
              <c:numCache>
                <c:formatCode>General</c:formatCode>
                <c:ptCount val="22"/>
                <c:pt idx="0">
                  <c:v>0.19543333333333335</c:v>
                </c:pt>
                <c:pt idx="1">
                  <c:v>0.25476666666666664</c:v>
                </c:pt>
                <c:pt idx="2">
                  <c:v>0.35043333333333332</c:v>
                </c:pt>
                <c:pt idx="3">
                  <c:v>0.4695333333333333</c:v>
                </c:pt>
                <c:pt idx="4">
                  <c:v>0.66623333333333334</c:v>
                </c:pt>
                <c:pt idx="5">
                  <c:v>0.92289999999999994</c:v>
                </c:pt>
                <c:pt idx="6">
                  <c:v>1.3259999999999998</c:v>
                </c:pt>
                <c:pt idx="7">
                  <c:v>1.9343333333333332</c:v>
                </c:pt>
                <c:pt idx="8">
                  <c:v>2.8136666666666663</c:v>
                </c:pt>
                <c:pt idx="9">
                  <c:v>4.065666666666667</c:v>
                </c:pt>
                <c:pt idx="10">
                  <c:v>5.8193333333333328</c:v>
                </c:pt>
                <c:pt idx="11">
                  <c:v>8.3126666666666669</c:v>
                </c:pt>
                <c:pt idx="12">
                  <c:v>11.87</c:v>
                </c:pt>
                <c:pt idx="13">
                  <c:v>16.876666666666665</c:v>
                </c:pt>
                <c:pt idx="14">
                  <c:v>23.860000000000003</c:v>
                </c:pt>
                <c:pt idx="15">
                  <c:v>33.53</c:v>
                </c:pt>
                <c:pt idx="16">
                  <c:v>46.906666666666666</c:v>
                </c:pt>
                <c:pt idx="17">
                  <c:v>65.260000000000005</c:v>
                </c:pt>
                <c:pt idx="18">
                  <c:v>90.25333333333333</c:v>
                </c:pt>
                <c:pt idx="19">
                  <c:v>123.93333333333334</c:v>
                </c:pt>
                <c:pt idx="20">
                  <c:v>169.9</c:v>
                </c:pt>
                <c:pt idx="21">
                  <c:v>232.79999999999998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89-4439-B7ED-437B346B2CDF}"/>
            </c:ext>
          </c:extLst>
        </c:ser>
        <c:ser>
          <c:idx val="1"/>
          <c:order val="1"/>
          <c:tx>
            <c:v>HB fitting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Sheet1!$J$4:$J$25</c:f>
              <c:numCache>
                <c:formatCode>General</c:formatCode>
                <c:ptCount val="22"/>
                <c:pt idx="0">
                  <c:v>6.3109999999999999E-2</c:v>
                </c:pt>
                <c:pt idx="1">
                  <c:v>9.9970000000000003E-2</c:v>
                </c:pt>
                <c:pt idx="2">
                  <c:v>0.1585</c:v>
                </c:pt>
                <c:pt idx="3">
                  <c:v>0.25119999999999998</c:v>
                </c:pt>
                <c:pt idx="4">
                  <c:v>0.39810000000000001</c:v>
                </c:pt>
                <c:pt idx="5">
                  <c:v>0.63090000000000002</c:v>
                </c:pt>
                <c:pt idx="6">
                  <c:v>1</c:v>
                </c:pt>
                <c:pt idx="7">
                  <c:v>1.5840000000000001</c:v>
                </c:pt>
                <c:pt idx="8">
                  <c:v>2.512</c:v>
                </c:pt>
                <c:pt idx="9">
                  <c:v>3.9809999999999999</c:v>
                </c:pt>
                <c:pt idx="10">
                  <c:v>6.31</c:v>
                </c:pt>
                <c:pt idx="11">
                  <c:v>10</c:v>
                </c:pt>
                <c:pt idx="12">
                  <c:v>15.85</c:v>
                </c:pt>
                <c:pt idx="13">
                  <c:v>25.12</c:v>
                </c:pt>
                <c:pt idx="14">
                  <c:v>39.81</c:v>
                </c:pt>
                <c:pt idx="15">
                  <c:v>63.1</c:v>
                </c:pt>
                <c:pt idx="16">
                  <c:v>100</c:v>
                </c:pt>
                <c:pt idx="17">
                  <c:v>158.5</c:v>
                </c:pt>
                <c:pt idx="18">
                  <c:v>251.2</c:v>
                </c:pt>
                <c:pt idx="19">
                  <c:v>398.1</c:v>
                </c:pt>
                <c:pt idx="20">
                  <c:v>631</c:v>
                </c:pt>
                <c:pt idx="21">
                  <c:v>1000</c:v>
                </c:pt>
              </c:numCache>
            </c:numRef>
          </c:xVal>
          <c:yVal>
            <c:numRef>
              <c:f>Sheet1!$N$4:$N$25</c:f>
              <c:numCache>
                <c:formatCode>General</c:formatCode>
                <c:ptCount val="22"/>
                <c:pt idx="0">
                  <c:v>0.18441740685515123</c:v>
                </c:pt>
                <c:pt idx="1">
                  <c:v>0.25582151227432837</c:v>
                </c:pt>
                <c:pt idx="2">
                  <c:v>0.3572089695830053</c:v>
                </c:pt>
                <c:pt idx="3">
                  <c:v>0.5007928877609894</c:v>
                </c:pt>
                <c:pt idx="4">
                  <c:v>0.70425730194737934</c:v>
                </c:pt>
                <c:pt idx="5">
                  <c:v>0.9925892021751912</c:v>
                </c:pt>
                <c:pt idx="6">
                  <c:v>1.4013671532997689</c:v>
                </c:pt>
                <c:pt idx="7">
                  <c:v>1.9797582915118914</c:v>
                </c:pt>
                <c:pt idx="8">
                  <c:v>2.8015880993489621</c:v>
                </c:pt>
                <c:pt idx="9">
                  <c:v>3.9648231978460311</c:v>
                </c:pt>
                <c:pt idx="10">
                  <c:v>5.6139299290551881</c:v>
                </c:pt>
                <c:pt idx="11">
                  <c:v>7.9502997237721882</c:v>
                </c:pt>
                <c:pt idx="12">
                  <c:v>11.262418834394889</c:v>
                </c:pt>
                <c:pt idx="13">
                  <c:v>15.955562740444437</c:v>
                </c:pt>
                <c:pt idx="14">
                  <c:v>22.605943839204635</c:v>
                </c:pt>
                <c:pt idx="15">
                  <c:v>32.034122415694902</c:v>
                </c:pt>
                <c:pt idx="16">
                  <c:v>45.391482026469525</c:v>
                </c:pt>
                <c:pt idx="17">
                  <c:v>64.327339755132442</c:v>
                </c:pt>
                <c:pt idx="18">
                  <c:v>91.158713367293188</c:v>
                </c:pt>
                <c:pt idx="19">
                  <c:v>129.17989138701617</c:v>
                </c:pt>
                <c:pt idx="20">
                  <c:v>183.08213409086684</c:v>
                </c:pt>
                <c:pt idx="21">
                  <c:v>259.44806562062485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89-4439-B7ED-437B346B2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568560"/>
        <c:axId val="819859440"/>
      </c:scatterChart>
      <c:valAx>
        <c:axId val="89756856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shear rate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9859440"/>
        <c:crosses val="autoZero"/>
        <c:crossBetween val="midCat"/>
      </c:valAx>
      <c:valAx>
        <c:axId val="8198594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shear stress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756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20708</xdr:colOff>
      <xdr:row>1</xdr:row>
      <xdr:rowOff>13805</xdr:rowOff>
    </xdr:from>
    <xdr:to>
      <xdr:col>19</xdr:col>
      <xdr:colOff>238395</xdr:colOff>
      <xdr:row>4</xdr:row>
      <xdr:rowOff>25046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30BFCA5-AF45-442D-A437-E7FF41A8B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1" y="227773"/>
          <a:ext cx="2267634" cy="653143"/>
        </a:xfrm>
        <a:prstGeom prst="rect">
          <a:avLst/>
        </a:prstGeom>
      </xdr:spPr>
    </xdr:pic>
    <xdr:clientData/>
  </xdr:twoCellAnchor>
  <xdr:twoCellAnchor>
    <xdr:from>
      <xdr:col>15</xdr:col>
      <xdr:colOff>191880</xdr:colOff>
      <xdr:row>12</xdr:row>
      <xdr:rowOff>53697</xdr:rowOff>
    </xdr:from>
    <xdr:to>
      <xdr:col>21</xdr:col>
      <xdr:colOff>663989</xdr:colOff>
      <xdr:row>25</xdr:row>
      <xdr:rowOff>15320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FDFF2D1-6FE9-FEC1-D3C8-F859FCB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C440-A04D-4291-BE86-40A099EAAC93}">
  <dimension ref="A1:R25"/>
  <sheetViews>
    <sheetView tabSelected="1" zoomScale="69" workbookViewId="0">
      <selection activeCell="S33" sqref="S33"/>
    </sheetView>
  </sheetViews>
  <sheetFormatPr defaultRowHeight="16.899999999999999" x14ac:dyDescent="0.6"/>
  <sheetData>
    <row r="1" spans="1:18" x14ac:dyDescent="0.6">
      <c r="A1" t="s">
        <v>0</v>
      </c>
    </row>
    <row r="2" spans="1:18" x14ac:dyDescent="0.6">
      <c r="A2" t="s">
        <v>1</v>
      </c>
      <c r="B2" t="s">
        <v>2</v>
      </c>
      <c r="C2" t="s">
        <v>3</v>
      </c>
      <c r="E2" t="s">
        <v>1</v>
      </c>
      <c r="F2" t="s">
        <v>2</v>
      </c>
      <c r="G2" t="s">
        <v>3</v>
      </c>
      <c r="I2" t="s">
        <v>1</v>
      </c>
      <c r="J2" t="s">
        <v>2</v>
      </c>
      <c r="K2" t="s">
        <v>3</v>
      </c>
      <c r="M2" t="s">
        <v>7</v>
      </c>
      <c r="N2" t="s">
        <v>12</v>
      </c>
      <c r="O2" t="s">
        <v>13</v>
      </c>
    </row>
    <row r="3" spans="1:18" x14ac:dyDescent="0.6">
      <c r="A3" t="s">
        <v>4</v>
      </c>
      <c r="B3" t="s">
        <v>5</v>
      </c>
      <c r="C3" t="s">
        <v>6</v>
      </c>
      <c r="E3" t="s">
        <v>4</v>
      </c>
      <c r="F3" t="s">
        <v>5</v>
      </c>
      <c r="G3" t="s">
        <v>6</v>
      </c>
      <c r="I3" t="s">
        <v>4</v>
      </c>
      <c r="J3" t="s">
        <v>5</v>
      </c>
      <c r="K3" t="s">
        <v>6</v>
      </c>
    </row>
    <row r="4" spans="1:18" x14ac:dyDescent="0.6">
      <c r="A4">
        <v>0.20680000000000001</v>
      </c>
      <c r="B4">
        <v>6.3089999999999993E-2</v>
      </c>
      <c r="C4">
        <v>3.278</v>
      </c>
      <c r="E4">
        <v>0.18509999999999999</v>
      </c>
      <c r="F4">
        <v>6.3079999999999997E-2</v>
      </c>
      <c r="G4">
        <v>2.9340000000000002</v>
      </c>
      <c r="I4">
        <v>0.19439999999999999</v>
      </c>
      <c r="J4">
        <v>6.3109999999999999E-2</v>
      </c>
      <c r="K4">
        <v>3.08</v>
      </c>
      <c r="M4">
        <f>AVERAGE(A4,E4,I4)</f>
        <v>0.19543333333333335</v>
      </c>
      <c r="N4">
        <f>$R$7+$R$8*J4^$R$9</f>
        <v>0.18441740685515123</v>
      </c>
      <c r="O4">
        <f>(N4-M4)^2/N4^2</f>
        <v>3.5681100067955366E-3</v>
      </c>
    </row>
    <row r="5" spans="1:18" x14ac:dyDescent="0.6">
      <c r="A5">
        <v>0.26240000000000002</v>
      </c>
      <c r="B5">
        <v>0.1</v>
      </c>
      <c r="C5">
        <v>2.6230000000000002</v>
      </c>
      <c r="E5">
        <v>0.25259999999999999</v>
      </c>
      <c r="F5">
        <v>9.9989999999999996E-2</v>
      </c>
      <c r="G5">
        <v>2.5259999999999998</v>
      </c>
      <c r="I5">
        <v>0.24929999999999999</v>
      </c>
      <c r="J5">
        <v>9.9970000000000003E-2</v>
      </c>
      <c r="K5">
        <v>2.4940000000000002</v>
      </c>
      <c r="M5">
        <f t="shared" ref="M5:M25" si="0">AVERAGE(A5,E5,I5)</f>
        <v>0.25476666666666664</v>
      </c>
      <c r="N5">
        <f t="shared" ref="N5:N25" si="1">$R$7+$R$8*J5^$R$9</f>
        <v>0.25582151227432837</v>
      </c>
      <c r="O5">
        <f t="shared" ref="O5:O25" si="2">(N5-M5)^2/N5^2</f>
        <v>1.7002143362245636E-5</v>
      </c>
    </row>
    <row r="6" spans="1:18" x14ac:dyDescent="0.6">
      <c r="A6">
        <v>0.36649999999999999</v>
      </c>
      <c r="B6">
        <v>0.1585</v>
      </c>
      <c r="C6">
        <v>2.3119999999999998</v>
      </c>
      <c r="E6">
        <v>0.34239999999999998</v>
      </c>
      <c r="F6">
        <v>0.1585</v>
      </c>
      <c r="G6">
        <v>2.16</v>
      </c>
      <c r="I6">
        <v>0.34239999999999998</v>
      </c>
      <c r="J6">
        <v>0.1585</v>
      </c>
      <c r="K6">
        <v>2.161</v>
      </c>
      <c r="M6">
        <f t="shared" si="0"/>
        <v>0.35043333333333332</v>
      </c>
      <c r="N6">
        <f t="shared" si="1"/>
        <v>0.3572089695830053</v>
      </c>
      <c r="O6">
        <f t="shared" si="2"/>
        <v>3.5979527403589407E-4</v>
      </c>
      <c r="Q6" t="s">
        <v>8</v>
      </c>
    </row>
    <row r="7" spans="1:18" x14ac:dyDescent="0.6">
      <c r="A7">
        <v>0.4798</v>
      </c>
      <c r="B7">
        <v>0.25119999999999998</v>
      </c>
      <c r="C7">
        <v>1.91</v>
      </c>
      <c r="E7">
        <v>0.47099999999999997</v>
      </c>
      <c r="F7">
        <v>0.25119999999999998</v>
      </c>
      <c r="G7">
        <v>1.875</v>
      </c>
      <c r="I7">
        <v>0.45779999999999998</v>
      </c>
      <c r="J7">
        <v>0.25119999999999998</v>
      </c>
      <c r="K7">
        <v>1.823</v>
      </c>
      <c r="M7">
        <f t="shared" si="0"/>
        <v>0.4695333333333333</v>
      </c>
      <c r="N7">
        <f t="shared" si="1"/>
        <v>0.5007928877609894</v>
      </c>
      <c r="O7">
        <f t="shared" si="2"/>
        <v>3.8962719488028551E-3</v>
      </c>
      <c r="Q7" t="s">
        <v>9</v>
      </c>
      <c r="R7">
        <v>1.3041013754943901E-2</v>
      </c>
    </row>
    <row r="8" spans="1:18" x14ac:dyDescent="0.6">
      <c r="A8">
        <v>0.69810000000000005</v>
      </c>
      <c r="B8">
        <v>0.39810000000000001</v>
      </c>
      <c r="C8">
        <v>1.754</v>
      </c>
      <c r="E8">
        <v>0.66159999999999997</v>
      </c>
      <c r="F8">
        <v>0.39810000000000001</v>
      </c>
      <c r="G8">
        <v>1.6619999999999999</v>
      </c>
      <c r="I8">
        <v>0.63900000000000001</v>
      </c>
      <c r="J8">
        <v>0.39810000000000001</v>
      </c>
      <c r="K8">
        <v>1.605</v>
      </c>
      <c r="M8">
        <f t="shared" si="0"/>
        <v>0.66623333333333334</v>
      </c>
      <c r="N8">
        <f t="shared" si="1"/>
        <v>0.70425730194737934</v>
      </c>
      <c r="O8">
        <f t="shared" si="2"/>
        <v>2.9150913480356917E-3</v>
      </c>
      <c r="Q8" t="s">
        <v>10</v>
      </c>
      <c r="R8">
        <v>1.388326139544825</v>
      </c>
    </row>
    <row r="9" spans="1:18" x14ac:dyDescent="0.6">
      <c r="A9">
        <v>0.96089999999999998</v>
      </c>
      <c r="B9">
        <v>0.63100000000000001</v>
      </c>
      <c r="C9">
        <v>1.5229999999999999</v>
      </c>
      <c r="E9">
        <v>0.92969999999999997</v>
      </c>
      <c r="F9">
        <v>0.63100000000000001</v>
      </c>
      <c r="G9">
        <v>1.4730000000000001</v>
      </c>
      <c r="I9">
        <v>0.87809999999999999</v>
      </c>
      <c r="J9">
        <v>0.63090000000000002</v>
      </c>
      <c r="K9">
        <v>1.3919999999999999</v>
      </c>
      <c r="M9">
        <f t="shared" si="0"/>
        <v>0.92289999999999994</v>
      </c>
      <c r="N9">
        <f t="shared" si="1"/>
        <v>0.9925892021751912</v>
      </c>
      <c r="O9">
        <f t="shared" si="2"/>
        <v>4.929375387692606E-3</v>
      </c>
      <c r="Q9" t="s">
        <v>11</v>
      </c>
      <c r="R9">
        <v>0.75717903541833476</v>
      </c>
    </row>
    <row r="10" spans="1:18" x14ac:dyDescent="0.6">
      <c r="A10">
        <v>1.3680000000000001</v>
      </c>
      <c r="B10">
        <v>1</v>
      </c>
      <c r="C10">
        <v>1.3680000000000001</v>
      </c>
      <c r="E10">
        <v>1.353</v>
      </c>
      <c r="F10">
        <v>1</v>
      </c>
      <c r="G10">
        <v>1.353</v>
      </c>
      <c r="I10">
        <v>1.2569999999999999</v>
      </c>
      <c r="J10">
        <v>1</v>
      </c>
      <c r="K10">
        <v>1.2569999999999999</v>
      </c>
      <c r="M10">
        <f t="shared" si="0"/>
        <v>1.3259999999999998</v>
      </c>
      <c r="N10">
        <f t="shared" si="1"/>
        <v>1.4013671532997689</v>
      </c>
      <c r="O10">
        <f t="shared" si="2"/>
        <v>2.892413340529447E-3</v>
      </c>
    </row>
    <row r="11" spans="1:18" x14ac:dyDescent="0.6">
      <c r="A11">
        <v>2.0059999999999998</v>
      </c>
      <c r="B11">
        <v>1.585</v>
      </c>
      <c r="C11">
        <v>1.2649999999999999</v>
      </c>
      <c r="E11">
        <v>1.968</v>
      </c>
      <c r="F11">
        <v>1.585</v>
      </c>
      <c r="G11">
        <v>1.242</v>
      </c>
      <c r="I11">
        <v>1.829</v>
      </c>
      <c r="J11">
        <v>1.5840000000000001</v>
      </c>
      <c r="K11">
        <v>1.1539999999999999</v>
      </c>
      <c r="M11">
        <f t="shared" si="0"/>
        <v>1.9343333333333332</v>
      </c>
      <c r="N11">
        <f t="shared" si="1"/>
        <v>1.9797582915118914</v>
      </c>
      <c r="O11">
        <f t="shared" si="2"/>
        <v>5.2645921421867325E-4</v>
      </c>
      <c r="Q11" t="s">
        <v>14</v>
      </c>
    </row>
    <row r="12" spans="1:18" x14ac:dyDescent="0.6">
      <c r="A12">
        <v>2.9009999999999998</v>
      </c>
      <c r="B12">
        <v>2.512</v>
      </c>
      <c r="C12">
        <v>1.155</v>
      </c>
      <c r="E12">
        <v>2.8860000000000001</v>
      </c>
      <c r="F12">
        <v>2.512</v>
      </c>
      <c r="G12">
        <v>1.149</v>
      </c>
      <c r="I12">
        <v>2.6539999999999999</v>
      </c>
      <c r="J12">
        <v>2.512</v>
      </c>
      <c r="K12">
        <v>1.0569999999999999</v>
      </c>
      <c r="M12">
        <f t="shared" si="0"/>
        <v>2.8136666666666663</v>
      </c>
      <c r="N12">
        <f t="shared" si="1"/>
        <v>2.8015880993489621</v>
      </c>
      <c r="O12">
        <f t="shared" si="2"/>
        <v>1.8587555588493353E-5</v>
      </c>
      <c r="Q12">
        <f>SUM(O4:O25)</f>
        <v>5.3493444510007829E-2</v>
      </c>
    </row>
    <row r="13" spans="1:18" x14ac:dyDescent="0.6">
      <c r="A13">
        <v>4.157</v>
      </c>
      <c r="B13">
        <v>3.9809999999999999</v>
      </c>
      <c r="C13">
        <v>1.044</v>
      </c>
      <c r="E13">
        <v>4.1820000000000004</v>
      </c>
      <c r="F13">
        <v>3.9809999999999999</v>
      </c>
      <c r="G13">
        <v>1.05</v>
      </c>
      <c r="I13">
        <v>3.8580000000000001</v>
      </c>
      <c r="J13">
        <v>3.9809999999999999</v>
      </c>
      <c r="K13">
        <v>0.96909999999999996</v>
      </c>
      <c r="M13">
        <f t="shared" si="0"/>
        <v>4.065666666666667</v>
      </c>
      <c r="N13">
        <f t="shared" si="1"/>
        <v>3.9648231978460311</v>
      </c>
      <c r="O13">
        <f t="shared" si="2"/>
        <v>6.4691601235793508E-4</v>
      </c>
    </row>
    <row r="14" spans="1:18" x14ac:dyDescent="0.6">
      <c r="A14">
        <v>5.9039999999999999</v>
      </c>
      <c r="B14">
        <v>6.3090000000000002</v>
      </c>
      <c r="C14">
        <v>0.93579999999999997</v>
      </c>
      <c r="E14">
        <v>6.0170000000000003</v>
      </c>
      <c r="F14">
        <v>6.3090000000000002</v>
      </c>
      <c r="G14">
        <v>0.9536</v>
      </c>
      <c r="I14">
        <v>5.5369999999999999</v>
      </c>
      <c r="J14">
        <v>6.31</v>
      </c>
      <c r="K14">
        <v>0.87749999999999995</v>
      </c>
      <c r="M14">
        <f t="shared" si="0"/>
        <v>5.8193333333333328</v>
      </c>
      <c r="N14">
        <f t="shared" si="1"/>
        <v>5.6139299290551881</v>
      </c>
      <c r="O14">
        <f t="shared" si="2"/>
        <v>1.3386939449664644E-3</v>
      </c>
    </row>
    <row r="15" spans="1:18" x14ac:dyDescent="0.6">
      <c r="A15">
        <v>8.4209999999999994</v>
      </c>
      <c r="B15">
        <v>10</v>
      </c>
      <c r="C15">
        <v>0.84209999999999996</v>
      </c>
      <c r="E15">
        <v>8.6059999999999999</v>
      </c>
      <c r="F15">
        <v>10</v>
      </c>
      <c r="G15">
        <v>0.86050000000000004</v>
      </c>
      <c r="I15">
        <v>7.9109999999999996</v>
      </c>
      <c r="J15">
        <v>10</v>
      </c>
      <c r="K15">
        <v>0.79110000000000003</v>
      </c>
      <c r="M15">
        <f t="shared" si="0"/>
        <v>8.3126666666666669</v>
      </c>
      <c r="N15">
        <f t="shared" si="1"/>
        <v>7.9502997237721882</v>
      </c>
      <c r="O15">
        <f t="shared" si="2"/>
        <v>2.0774478986398484E-3</v>
      </c>
    </row>
    <row r="16" spans="1:18" x14ac:dyDescent="0.6">
      <c r="A16">
        <v>12</v>
      </c>
      <c r="B16">
        <v>15.85</v>
      </c>
      <c r="C16">
        <v>0.75729999999999997</v>
      </c>
      <c r="E16">
        <v>12.29</v>
      </c>
      <c r="F16">
        <v>15.85</v>
      </c>
      <c r="G16">
        <v>0.77569999999999995</v>
      </c>
      <c r="I16">
        <v>11.32</v>
      </c>
      <c r="J16">
        <v>15.85</v>
      </c>
      <c r="K16">
        <v>0.71409999999999996</v>
      </c>
      <c r="M16">
        <f t="shared" si="0"/>
        <v>11.87</v>
      </c>
      <c r="N16">
        <f t="shared" si="1"/>
        <v>11.262418834394889</v>
      </c>
      <c r="O16">
        <f t="shared" si="2"/>
        <v>2.9103502450833789E-3</v>
      </c>
    </row>
    <row r="17" spans="1:15" x14ac:dyDescent="0.6">
      <c r="A17">
        <v>17.04</v>
      </c>
      <c r="B17">
        <v>25.12</v>
      </c>
      <c r="C17">
        <v>0.67849999999999999</v>
      </c>
      <c r="E17">
        <v>17.48</v>
      </c>
      <c r="F17">
        <v>25.12</v>
      </c>
      <c r="G17">
        <v>0.69589999999999996</v>
      </c>
      <c r="I17">
        <v>16.11</v>
      </c>
      <c r="J17">
        <v>25.12</v>
      </c>
      <c r="K17">
        <v>0.64139999999999997</v>
      </c>
      <c r="M17">
        <f t="shared" si="0"/>
        <v>16.876666666666665</v>
      </c>
      <c r="N17">
        <f t="shared" si="1"/>
        <v>15.955562740444437</v>
      </c>
      <c r="O17">
        <f t="shared" si="2"/>
        <v>3.3326753934959734E-3</v>
      </c>
    </row>
    <row r="18" spans="1:15" x14ac:dyDescent="0.6">
      <c r="A18">
        <v>24.05</v>
      </c>
      <c r="B18">
        <v>39.81</v>
      </c>
      <c r="C18">
        <v>0.60399999999999998</v>
      </c>
      <c r="E18">
        <v>24.71</v>
      </c>
      <c r="F18">
        <v>39.81</v>
      </c>
      <c r="G18">
        <v>0.62070000000000003</v>
      </c>
      <c r="I18">
        <v>22.82</v>
      </c>
      <c r="J18">
        <v>39.81</v>
      </c>
      <c r="K18">
        <v>0.57320000000000004</v>
      </c>
      <c r="M18">
        <f t="shared" si="0"/>
        <v>23.860000000000003</v>
      </c>
      <c r="N18">
        <f t="shared" si="1"/>
        <v>22.605943839204635</v>
      </c>
      <c r="O18">
        <f t="shared" si="2"/>
        <v>3.0774335454897927E-3</v>
      </c>
    </row>
    <row r="19" spans="1:15" x14ac:dyDescent="0.6">
      <c r="A19">
        <v>33.72</v>
      </c>
      <c r="B19">
        <v>63.1</v>
      </c>
      <c r="C19">
        <v>0.53449999999999998</v>
      </c>
      <c r="E19">
        <v>34.72</v>
      </c>
      <c r="F19">
        <v>63.1</v>
      </c>
      <c r="G19">
        <v>0.55030000000000001</v>
      </c>
      <c r="I19">
        <v>32.15</v>
      </c>
      <c r="J19">
        <v>63.1</v>
      </c>
      <c r="K19">
        <v>0.50960000000000005</v>
      </c>
      <c r="M19">
        <f t="shared" si="0"/>
        <v>33.53</v>
      </c>
      <c r="N19">
        <f t="shared" si="1"/>
        <v>32.034122415694902</v>
      </c>
      <c r="O19">
        <f t="shared" si="2"/>
        <v>2.180551995526846E-3</v>
      </c>
    </row>
    <row r="20" spans="1:15" x14ac:dyDescent="0.6">
      <c r="A20">
        <v>47.08</v>
      </c>
      <c r="B20">
        <v>100</v>
      </c>
      <c r="C20">
        <v>0.4708</v>
      </c>
      <c r="E20">
        <v>48.53</v>
      </c>
      <c r="F20">
        <v>100</v>
      </c>
      <c r="G20">
        <v>0.48530000000000001</v>
      </c>
      <c r="I20">
        <v>45.11</v>
      </c>
      <c r="J20">
        <v>100</v>
      </c>
      <c r="K20">
        <v>0.4511</v>
      </c>
      <c r="M20">
        <f t="shared" si="0"/>
        <v>46.906666666666666</v>
      </c>
      <c r="N20">
        <f t="shared" si="1"/>
        <v>45.391482026469525</v>
      </c>
      <c r="O20">
        <f t="shared" si="2"/>
        <v>1.1142493591717979E-3</v>
      </c>
    </row>
    <row r="21" spans="1:15" x14ac:dyDescent="0.6">
      <c r="A21">
        <v>65.33</v>
      </c>
      <c r="B21">
        <v>158.5</v>
      </c>
      <c r="C21">
        <v>0.41220000000000001</v>
      </c>
      <c r="E21">
        <v>67.459999999999994</v>
      </c>
      <c r="F21">
        <v>158.5</v>
      </c>
      <c r="G21">
        <v>0.42559999999999998</v>
      </c>
      <c r="I21">
        <v>62.99</v>
      </c>
      <c r="J21">
        <v>158.5</v>
      </c>
      <c r="K21">
        <v>0.39739999999999998</v>
      </c>
      <c r="M21">
        <f t="shared" si="0"/>
        <v>65.260000000000005</v>
      </c>
      <c r="N21">
        <f t="shared" si="1"/>
        <v>64.327339755132442</v>
      </c>
      <c r="O21">
        <f t="shared" si="2"/>
        <v>2.1021114948289627E-4</v>
      </c>
    </row>
    <row r="22" spans="1:15" x14ac:dyDescent="0.6">
      <c r="A22">
        <v>90.03</v>
      </c>
      <c r="B22">
        <v>251.2</v>
      </c>
      <c r="C22">
        <v>0.3584</v>
      </c>
      <c r="E22">
        <v>93.23</v>
      </c>
      <c r="F22">
        <v>251.2</v>
      </c>
      <c r="G22">
        <v>0.37109999999999999</v>
      </c>
      <c r="I22">
        <v>87.5</v>
      </c>
      <c r="J22">
        <v>251.2</v>
      </c>
      <c r="K22">
        <v>0.3483</v>
      </c>
      <c r="M22">
        <f t="shared" si="0"/>
        <v>90.25333333333333</v>
      </c>
      <c r="N22">
        <f t="shared" si="1"/>
        <v>91.158713367293188</v>
      </c>
      <c r="O22">
        <f t="shared" si="2"/>
        <v>9.8642813821476458E-5</v>
      </c>
    </row>
    <row r="23" spans="1:15" x14ac:dyDescent="0.6">
      <c r="A23">
        <v>123.3</v>
      </c>
      <c r="B23">
        <v>398.1</v>
      </c>
      <c r="C23">
        <v>0.30980000000000002</v>
      </c>
      <c r="E23">
        <v>127.7</v>
      </c>
      <c r="F23">
        <v>398.1</v>
      </c>
      <c r="G23">
        <v>0.32069999999999999</v>
      </c>
      <c r="I23">
        <v>120.8</v>
      </c>
      <c r="J23">
        <v>398.1</v>
      </c>
      <c r="K23">
        <v>0.30349999999999999</v>
      </c>
      <c r="M23">
        <f t="shared" si="0"/>
        <v>123.93333333333334</v>
      </c>
      <c r="N23">
        <f t="shared" si="1"/>
        <v>129.17989138701617</v>
      </c>
      <c r="O23">
        <f t="shared" si="2"/>
        <v>1.6495258861613958E-3</v>
      </c>
    </row>
    <row r="24" spans="1:15" x14ac:dyDescent="0.6">
      <c r="A24">
        <v>168</v>
      </c>
      <c r="B24">
        <v>631</v>
      </c>
      <c r="C24">
        <v>0.26629999999999998</v>
      </c>
      <c r="E24">
        <v>175.2</v>
      </c>
      <c r="F24">
        <v>631</v>
      </c>
      <c r="G24">
        <v>0.2777</v>
      </c>
      <c r="I24">
        <v>166.5</v>
      </c>
      <c r="J24">
        <v>631</v>
      </c>
      <c r="K24">
        <v>0.26379999999999998</v>
      </c>
      <c r="M24">
        <f t="shared" si="0"/>
        <v>169.9</v>
      </c>
      <c r="N24">
        <f t="shared" si="1"/>
        <v>183.08213409086684</v>
      </c>
      <c r="O24">
        <f t="shared" si="2"/>
        <v>5.1841733817244752E-3</v>
      </c>
    </row>
    <row r="25" spans="1:15" x14ac:dyDescent="0.6">
      <c r="A25">
        <v>229.8</v>
      </c>
      <c r="B25">
        <v>1000</v>
      </c>
      <c r="C25">
        <v>0.2298</v>
      </c>
      <c r="E25">
        <v>239.5</v>
      </c>
      <c r="F25">
        <v>1000</v>
      </c>
      <c r="G25">
        <v>0.23949999999999999</v>
      </c>
      <c r="I25">
        <v>229.1</v>
      </c>
      <c r="J25">
        <v>1000</v>
      </c>
      <c r="K25">
        <v>0.2291</v>
      </c>
      <c r="M25">
        <f t="shared" si="0"/>
        <v>232.79999999999998</v>
      </c>
      <c r="N25">
        <f t="shared" si="1"/>
        <v>259.44806562062485</v>
      </c>
      <c r="O25">
        <f t="shared" si="2"/>
        <v>1.0549466665024113E-2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민혜</dc:creator>
  <cp:lastModifiedBy>이 민혜</cp:lastModifiedBy>
  <dcterms:created xsi:type="dcterms:W3CDTF">2026-07-08T08:11:03Z</dcterms:created>
  <dcterms:modified xsi:type="dcterms:W3CDTF">2026-07-08T08:35:17Z</dcterms:modified>
</cp:coreProperties>
</file>