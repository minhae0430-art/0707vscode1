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1955" windowHeight="6240"/>
  </bookViews>
  <sheets>
    <sheet name="Sheet1" sheetId="1" r:id="rId1"/>
  </sheets>
  <definedNames>
    <definedName name="solver_adj" localSheetId="0" hidden="1">Sheet1!$U$1:$U$4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Sheet1!$U$2</definedName>
    <definedName name="solver_lhs2" localSheetId="0" hidden="1">Sheet1!$U$4</definedName>
    <definedName name="solver_lhs3" localSheetId="0" hidden="1">Sheet1!$U$4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3</definedName>
    <definedName name="solver_nwt" localSheetId="0" hidden="1">1</definedName>
    <definedName name="solver_opt" localSheetId="0" hidden="1">Sheet1!$U$5</definedName>
    <definedName name="solver_pre" localSheetId="0" hidden="1">0.000001</definedName>
    <definedName name="solver_rbv" localSheetId="0" hidden="1">1</definedName>
    <definedName name="solver_rel1" localSheetId="0" hidden="1">3</definedName>
    <definedName name="solver_rel2" localSheetId="0" hidden="1">1</definedName>
    <definedName name="solver_rel3" localSheetId="0" hidden="1">3</definedName>
    <definedName name="solver_rhs1" localSheetId="0" hidden="1">0.001</definedName>
    <definedName name="solver_rhs2" localSheetId="0" hidden="1">1</definedName>
    <definedName name="solver_rhs3" localSheetId="0" hidden="1">0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4" i="1" l="1"/>
  <c r="Q4" i="1" s="1"/>
  <c r="P5" i="1"/>
  <c r="Q5" i="1" s="1"/>
  <c r="P6" i="1"/>
  <c r="Q6" i="1" s="1"/>
  <c r="P7" i="1"/>
  <c r="Q7" i="1" s="1"/>
  <c r="P8" i="1"/>
  <c r="Q8" i="1" s="1"/>
  <c r="P9" i="1"/>
  <c r="Q9" i="1" s="1"/>
  <c r="P10" i="1"/>
  <c r="Q10" i="1" s="1"/>
  <c r="P11" i="1"/>
  <c r="Q11" i="1" s="1"/>
  <c r="P12" i="1"/>
  <c r="Q12" i="1" s="1"/>
  <c r="P13" i="1"/>
  <c r="Q13" i="1" s="1"/>
  <c r="P14" i="1"/>
  <c r="Q14" i="1" s="1"/>
  <c r="P15" i="1"/>
  <c r="Q15" i="1" s="1"/>
  <c r="P16" i="1"/>
  <c r="Q16" i="1" s="1"/>
  <c r="P17" i="1"/>
  <c r="Q17" i="1" s="1"/>
  <c r="P18" i="1"/>
  <c r="Q18" i="1" s="1"/>
  <c r="P19" i="1"/>
  <c r="Q19" i="1" s="1"/>
  <c r="P20" i="1"/>
  <c r="Q20" i="1" s="1"/>
  <c r="P21" i="1"/>
  <c r="Q21" i="1" s="1"/>
  <c r="P22" i="1"/>
  <c r="Q22" i="1" s="1"/>
  <c r="P23" i="1"/>
  <c r="Q23" i="1" s="1"/>
  <c r="P3" i="1"/>
  <c r="Q3" i="1" s="1"/>
  <c r="M3" i="1"/>
  <c r="N3" i="1"/>
  <c r="O3" i="1"/>
  <c r="M4" i="1"/>
  <c r="N4" i="1"/>
  <c r="O4" i="1"/>
  <c r="M5" i="1"/>
  <c r="N5" i="1"/>
  <c r="O5" i="1"/>
  <c r="M6" i="1"/>
  <c r="N6" i="1"/>
  <c r="O6" i="1"/>
  <c r="M7" i="1"/>
  <c r="N7" i="1"/>
  <c r="O7" i="1"/>
  <c r="M8" i="1"/>
  <c r="N8" i="1"/>
  <c r="O8" i="1"/>
  <c r="M9" i="1"/>
  <c r="N9" i="1"/>
  <c r="O9" i="1"/>
  <c r="M10" i="1"/>
  <c r="N10" i="1"/>
  <c r="O10" i="1"/>
  <c r="M11" i="1"/>
  <c r="N11" i="1"/>
  <c r="O11" i="1"/>
  <c r="M12" i="1"/>
  <c r="N12" i="1"/>
  <c r="O12" i="1"/>
  <c r="M13" i="1"/>
  <c r="N13" i="1"/>
  <c r="O13" i="1"/>
  <c r="M14" i="1"/>
  <c r="N14" i="1"/>
  <c r="O14" i="1"/>
  <c r="M15" i="1"/>
  <c r="N15" i="1"/>
  <c r="O15" i="1"/>
  <c r="M16" i="1"/>
  <c r="N16" i="1"/>
  <c r="O16" i="1"/>
  <c r="M17" i="1"/>
  <c r="N17" i="1"/>
  <c r="O17" i="1"/>
  <c r="M18" i="1"/>
  <c r="N18" i="1"/>
  <c r="O18" i="1"/>
  <c r="M19" i="1"/>
  <c r="N19" i="1"/>
  <c r="O19" i="1"/>
  <c r="M20" i="1"/>
  <c r="N20" i="1"/>
  <c r="O20" i="1"/>
  <c r="M21" i="1"/>
  <c r="N21" i="1"/>
  <c r="O21" i="1"/>
  <c r="M22" i="1"/>
  <c r="N22" i="1"/>
  <c r="O22" i="1"/>
  <c r="M23" i="1"/>
  <c r="N23" i="1"/>
  <c r="O23" i="1"/>
  <c r="U5" i="1" l="1"/>
</calcChain>
</file>

<file path=xl/sharedStrings.xml><?xml version="1.0" encoding="utf-8"?>
<sst xmlns="http://schemas.openxmlformats.org/spreadsheetml/2006/main" count="32" uniqueCount="13">
  <si>
    <t>shear stress</t>
  </si>
  <si>
    <t>shear rate</t>
  </si>
  <si>
    <t>viscosity</t>
  </si>
  <si>
    <t>Pa</t>
  </si>
  <si>
    <t>1/s</t>
  </si>
  <si>
    <t>Pa.s</t>
  </si>
  <si>
    <t>Model viscosity</t>
    <phoneticPr fontId="1" type="noConversion"/>
  </si>
  <si>
    <t>zero viscosity</t>
    <phoneticPr fontId="1" type="noConversion"/>
  </si>
  <si>
    <t>Inf. Viscosity</t>
    <phoneticPr fontId="1" type="noConversion"/>
  </si>
  <si>
    <t>relaxation time (lamda)</t>
    <phoneticPr fontId="1" type="noConversion"/>
  </si>
  <si>
    <t>exponent (n)</t>
    <phoneticPr fontId="1" type="noConversion"/>
  </si>
  <si>
    <t>error</t>
    <phoneticPr fontId="1" type="noConversion"/>
  </si>
  <si>
    <t>error sum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</si>
</sst>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2" borderId="0" xfId="0" applyFill="1">
      <alignment vertical="center"/>
    </xf>
    <xf numFmtId="11" fontId="0" fillId="2" borderId="0" xfId="0" applyNumberForma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Sheet1!$N$3:$N$23</c:f>
              <c:numCache>
                <c:formatCode>0.00E+00</c:formatCode>
                <c:ptCount val="21"/>
                <c:pt idx="0">
                  <c:v>0.10000000000000002</c:v>
                </c:pt>
                <c:pt idx="1">
                  <c:v>0.1585</c:v>
                </c:pt>
                <c:pt idx="2">
                  <c:v>0.25119999999999998</c:v>
                </c:pt>
                <c:pt idx="3">
                  <c:v>0.39810000000000006</c:v>
                </c:pt>
                <c:pt idx="4">
                  <c:v>0.63090000000000002</c:v>
                </c:pt>
                <c:pt idx="5">
                  <c:v>0.99996666666666678</c:v>
                </c:pt>
                <c:pt idx="6">
                  <c:v>1.585</c:v>
                </c:pt>
                <c:pt idx="7">
                  <c:v>2.512</c:v>
                </c:pt>
                <c:pt idx="8">
                  <c:v>3.9809999999999999</c:v>
                </c:pt>
                <c:pt idx="9">
                  <c:v>6.3096666666666659</c:v>
                </c:pt>
                <c:pt idx="10">
                  <c:v>10</c:v>
                </c:pt>
                <c:pt idx="11">
                  <c:v>15.85</c:v>
                </c:pt>
                <c:pt idx="12">
                  <c:v>25.12</c:v>
                </c:pt>
                <c:pt idx="13">
                  <c:v>39.81</c:v>
                </c:pt>
                <c:pt idx="14">
                  <c:v>63.1</c:v>
                </c:pt>
                <c:pt idx="15">
                  <c:v>100</c:v>
                </c:pt>
                <c:pt idx="16">
                  <c:v>158.5</c:v>
                </c:pt>
                <c:pt idx="17">
                  <c:v>251.19999999999996</c:v>
                </c:pt>
                <c:pt idx="18">
                  <c:v>398.10000000000008</c:v>
                </c:pt>
                <c:pt idx="19">
                  <c:v>630.9</c:v>
                </c:pt>
                <c:pt idx="20">
                  <c:v>999.29999999999984</c:v>
                </c:pt>
              </c:numCache>
            </c:numRef>
          </c:xVal>
          <c:yVal>
            <c:numRef>
              <c:f>Sheet1!$O$3:$O$23</c:f>
              <c:numCache>
                <c:formatCode>0.00E+00</c:formatCode>
                <c:ptCount val="21"/>
                <c:pt idx="0">
                  <c:v>0.16503333333333334</c:v>
                </c:pt>
                <c:pt idx="1">
                  <c:v>0.14783333333333334</c:v>
                </c:pt>
                <c:pt idx="2">
                  <c:v>0.14053333333333334</c:v>
                </c:pt>
                <c:pt idx="3">
                  <c:v>0.13723333333333335</c:v>
                </c:pt>
                <c:pt idx="4">
                  <c:v>0.13436666666666666</c:v>
                </c:pt>
                <c:pt idx="5">
                  <c:v>0.13426666666666667</c:v>
                </c:pt>
                <c:pt idx="6">
                  <c:v>0.13266666666666668</c:v>
                </c:pt>
                <c:pt idx="7">
                  <c:v>0.13023333333333334</c:v>
                </c:pt>
                <c:pt idx="8">
                  <c:v>0.12723333333333334</c:v>
                </c:pt>
                <c:pt idx="9">
                  <c:v>0.12296666666666667</c:v>
                </c:pt>
                <c:pt idx="10">
                  <c:v>0.11756666666666667</c:v>
                </c:pt>
                <c:pt idx="11">
                  <c:v>0.11073333333333334</c:v>
                </c:pt>
                <c:pt idx="12">
                  <c:v>0.10253333333333332</c:v>
                </c:pt>
                <c:pt idx="13">
                  <c:v>9.3160000000000007E-2</c:v>
                </c:pt>
                <c:pt idx="14">
                  <c:v>8.2973333333333329E-2</c:v>
                </c:pt>
                <c:pt idx="15">
                  <c:v>7.2639999999999996E-2</c:v>
                </c:pt>
                <c:pt idx="16">
                  <c:v>6.2526666666666661E-2</c:v>
                </c:pt>
                <c:pt idx="17">
                  <c:v>5.3050000000000007E-2</c:v>
                </c:pt>
                <c:pt idx="18">
                  <c:v>4.4643333333333333E-2</c:v>
                </c:pt>
                <c:pt idx="19">
                  <c:v>3.7486666666666668E-2</c:v>
                </c:pt>
                <c:pt idx="20">
                  <c:v>3.1383333333333333E-2</c:v>
                </c:pt>
              </c:numCache>
            </c:numRef>
          </c:yVal>
          <c:smooth val="0"/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Sheet1!$N$3:$N$23</c:f>
              <c:numCache>
                <c:formatCode>0.00E+00</c:formatCode>
                <c:ptCount val="21"/>
                <c:pt idx="0">
                  <c:v>0.10000000000000002</c:v>
                </c:pt>
                <c:pt idx="1">
                  <c:v>0.1585</c:v>
                </c:pt>
                <c:pt idx="2">
                  <c:v>0.25119999999999998</c:v>
                </c:pt>
                <c:pt idx="3">
                  <c:v>0.39810000000000006</c:v>
                </c:pt>
                <c:pt idx="4">
                  <c:v>0.63090000000000002</c:v>
                </c:pt>
                <c:pt idx="5">
                  <c:v>0.99996666666666678</c:v>
                </c:pt>
                <c:pt idx="6">
                  <c:v>1.585</c:v>
                </c:pt>
                <c:pt idx="7">
                  <c:v>2.512</c:v>
                </c:pt>
                <c:pt idx="8">
                  <c:v>3.9809999999999999</c:v>
                </c:pt>
                <c:pt idx="9">
                  <c:v>6.3096666666666659</c:v>
                </c:pt>
                <c:pt idx="10">
                  <c:v>10</c:v>
                </c:pt>
                <c:pt idx="11">
                  <c:v>15.85</c:v>
                </c:pt>
                <c:pt idx="12">
                  <c:v>25.12</c:v>
                </c:pt>
                <c:pt idx="13">
                  <c:v>39.81</c:v>
                </c:pt>
                <c:pt idx="14">
                  <c:v>63.1</c:v>
                </c:pt>
                <c:pt idx="15">
                  <c:v>100</c:v>
                </c:pt>
                <c:pt idx="16">
                  <c:v>158.5</c:v>
                </c:pt>
                <c:pt idx="17">
                  <c:v>251.19999999999996</c:v>
                </c:pt>
                <c:pt idx="18">
                  <c:v>398.10000000000008</c:v>
                </c:pt>
                <c:pt idx="19">
                  <c:v>630.9</c:v>
                </c:pt>
                <c:pt idx="20">
                  <c:v>999.29999999999984</c:v>
                </c:pt>
              </c:numCache>
            </c:numRef>
          </c:xVal>
          <c:yVal>
            <c:numRef>
              <c:f>Sheet1!$P$3:$P$23</c:f>
              <c:numCache>
                <c:formatCode>0.00E+00</c:formatCode>
                <c:ptCount val="21"/>
                <c:pt idx="0">
                  <c:v>0.1361107453517893</c:v>
                </c:pt>
                <c:pt idx="1">
                  <c:v>0.13610856173011621</c:v>
                </c:pt>
                <c:pt idx="2">
                  <c:v>0.13610307871959446</c:v>
                </c:pt>
                <c:pt idx="3">
                  <c:v>0.13608931548066003</c:v>
                </c:pt>
                <c:pt idx="4">
                  <c:v>0.13605479316412925</c:v>
                </c:pt>
                <c:pt idx="5">
                  <c:v>0.13596832795364919</c:v>
                </c:pt>
                <c:pt idx="6">
                  <c:v>0.13575280353601801</c:v>
                </c:pt>
                <c:pt idx="7">
                  <c:v>0.13522211556028821</c:v>
                </c:pt>
                <c:pt idx="8">
                  <c:v>0.13395172056689489</c:v>
                </c:pt>
                <c:pt idx="9">
                  <c:v>0.13109688365853112</c:v>
                </c:pt>
                <c:pt idx="10">
                  <c:v>0.12544182340393326</c:v>
                </c:pt>
                <c:pt idx="11">
                  <c:v>0.11625797355320851</c:v>
                </c:pt>
                <c:pt idx="12">
                  <c:v>0.10441652053476799</c:v>
                </c:pt>
                <c:pt idx="13">
                  <c:v>9.1784824588274652E-2</c:v>
                </c:pt>
                <c:pt idx="14">
                  <c:v>7.9777306312887E-2</c:v>
                </c:pt>
                <c:pt idx="15">
                  <c:v>6.9004717797200757E-2</c:v>
                </c:pt>
                <c:pt idx="16">
                  <c:v>5.9573831052485246E-2</c:v>
                </c:pt>
                <c:pt idx="17">
                  <c:v>5.1407167825486912E-2</c:v>
                </c:pt>
                <c:pt idx="18">
                  <c:v>4.4364140982595321E-2</c:v>
                </c:pt>
                <c:pt idx="19">
                  <c:v>3.829994823172006E-2</c:v>
                </c:pt>
                <c:pt idx="20">
                  <c:v>3.3087591218836795E-2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6357272"/>
        <c:axId val="366356880"/>
      </c:scatterChart>
      <c:valAx>
        <c:axId val="36635727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66356880"/>
        <c:crosses val="autoZero"/>
        <c:crossBetween val="midCat"/>
      </c:valAx>
      <c:valAx>
        <c:axId val="366356880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663572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112059</xdr:colOff>
      <xdr:row>5</xdr:row>
      <xdr:rowOff>112644</xdr:rowOff>
    </xdr:from>
    <xdr:to>
      <xdr:col>28</xdr:col>
      <xdr:colOff>228557</xdr:colOff>
      <xdr:row>9</xdr:row>
      <xdr:rowOff>67234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36471" y="1177203"/>
          <a:ext cx="4901410" cy="806237"/>
        </a:xfrm>
        <a:prstGeom prst="rect">
          <a:avLst/>
        </a:prstGeom>
      </xdr:spPr>
    </xdr:pic>
    <xdr:clientData/>
  </xdr:twoCellAnchor>
  <xdr:twoCellAnchor>
    <xdr:from>
      <xdr:col>18</xdr:col>
      <xdr:colOff>392205</xdr:colOff>
      <xdr:row>10</xdr:row>
      <xdr:rowOff>34738</xdr:rowOff>
    </xdr:from>
    <xdr:to>
      <xdr:col>23</xdr:col>
      <xdr:colOff>470647</xdr:colOff>
      <xdr:row>23</xdr:row>
      <xdr:rowOff>10085</xdr:rowOff>
    </xdr:to>
    <xdr:graphicFrame macro="">
      <xdr:nvGraphicFramePr>
        <xdr:cNvPr id="3" name="차트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3"/>
  <sheetViews>
    <sheetView tabSelected="1" zoomScale="85" zoomScaleNormal="85" workbookViewId="0">
      <selection activeCell="Q24" sqref="Q24"/>
    </sheetView>
  </sheetViews>
  <sheetFormatPr defaultRowHeight="16.5" x14ac:dyDescent="0.3"/>
  <cols>
    <col min="14" max="14" width="10" bestFit="1" customWidth="1"/>
    <col min="16" max="16" width="15.25" bestFit="1" customWidth="1"/>
    <col min="17" max="17" width="9.375" bestFit="1" customWidth="1"/>
    <col min="20" max="20" width="22.625" bestFit="1" customWidth="1"/>
    <col min="21" max="21" width="9.375" bestFit="1" customWidth="1"/>
  </cols>
  <sheetData>
    <row r="1" spans="1:21" x14ac:dyDescent="0.3">
      <c r="A1" t="s">
        <v>0</v>
      </c>
      <c r="B1" t="s">
        <v>1</v>
      </c>
      <c r="C1" t="s">
        <v>2</v>
      </c>
      <c r="E1" t="s">
        <v>0</v>
      </c>
      <c r="F1" t="s">
        <v>1</v>
      </c>
      <c r="G1" t="s">
        <v>2</v>
      </c>
      <c r="I1" t="s">
        <v>0</v>
      </c>
      <c r="J1" t="s">
        <v>1</v>
      </c>
      <c r="K1" t="s">
        <v>2</v>
      </c>
      <c r="M1" s="2" t="s">
        <v>0</v>
      </c>
      <c r="N1" s="2" t="s">
        <v>1</v>
      </c>
      <c r="O1" s="2" t="s">
        <v>2</v>
      </c>
      <c r="P1" s="2" t="s">
        <v>6</v>
      </c>
      <c r="Q1" s="2" t="s">
        <v>11</v>
      </c>
      <c r="T1" t="s">
        <v>7</v>
      </c>
      <c r="U1">
        <v>0.13611218946896386</v>
      </c>
    </row>
    <row r="2" spans="1:21" x14ac:dyDescent="0.3">
      <c r="A2" t="s">
        <v>3</v>
      </c>
      <c r="B2" t="s">
        <v>4</v>
      </c>
      <c r="C2" t="s">
        <v>5</v>
      </c>
      <c r="E2" t="s">
        <v>3</v>
      </c>
      <c r="F2" t="s">
        <v>4</v>
      </c>
      <c r="G2" t="s">
        <v>5</v>
      </c>
      <c r="I2" t="s">
        <v>3</v>
      </c>
      <c r="J2" t="s">
        <v>4</v>
      </c>
      <c r="K2" t="s">
        <v>5</v>
      </c>
      <c r="M2" s="2" t="s">
        <v>3</v>
      </c>
      <c r="N2" s="2" t="s">
        <v>4</v>
      </c>
      <c r="O2" s="2" t="s">
        <v>5</v>
      </c>
      <c r="P2" s="2" t="s">
        <v>5</v>
      </c>
      <c r="Q2" s="2"/>
      <c r="T2" t="s">
        <v>8</v>
      </c>
      <c r="U2">
        <v>1E-3</v>
      </c>
    </row>
    <row r="3" spans="1:21" x14ac:dyDescent="0.3">
      <c r="A3">
        <v>1.601E-2</v>
      </c>
      <c r="B3">
        <v>0.1</v>
      </c>
      <c r="C3">
        <v>0.16009999999999999</v>
      </c>
      <c r="E3">
        <v>2.0729999999999998E-2</v>
      </c>
      <c r="F3">
        <v>0.1</v>
      </c>
      <c r="G3">
        <v>0.2072</v>
      </c>
      <c r="I3">
        <v>1.278E-2</v>
      </c>
      <c r="J3">
        <v>0.1</v>
      </c>
      <c r="K3">
        <v>0.1278</v>
      </c>
      <c r="M3" s="3">
        <f t="shared" ref="M3:M23" si="0">AVERAGE(A3,E3,I3)</f>
        <v>1.6506666666666666E-2</v>
      </c>
      <c r="N3" s="3">
        <f t="shared" ref="N3:N23" si="1">AVERAGE(B3,F3,J3)</f>
        <v>0.10000000000000002</v>
      </c>
      <c r="O3" s="3">
        <f t="shared" ref="O3:O23" si="2">AVERAGE(C3,G3,K3)</f>
        <v>0.16503333333333334</v>
      </c>
      <c r="P3" s="3">
        <f>$U$2+($U$1-$U$2)*(1+($U$3*N3)^2)^(($U$4-1)/2)</f>
        <v>0.1361107453517893</v>
      </c>
      <c r="Q3" s="3">
        <f>(O3-P3)^2/O3^2</f>
        <v>3.0713616589217028E-2</v>
      </c>
      <c r="T3" t="s">
        <v>9</v>
      </c>
      <c r="U3">
        <v>8.0808514181019919E-2</v>
      </c>
    </row>
    <row r="4" spans="1:21" x14ac:dyDescent="0.3">
      <c r="A4">
        <v>2.3519999999999999E-2</v>
      </c>
      <c r="B4">
        <v>0.1585</v>
      </c>
      <c r="C4">
        <v>0.1484</v>
      </c>
      <c r="E4">
        <v>2.7E-2</v>
      </c>
      <c r="F4">
        <v>0.1585</v>
      </c>
      <c r="G4">
        <v>0.17030000000000001</v>
      </c>
      <c r="I4">
        <v>1.9769999999999999E-2</v>
      </c>
      <c r="J4">
        <v>0.1585</v>
      </c>
      <c r="K4">
        <v>0.12479999999999999</v>
      </c>
      <c r="M4" s="3">
        <f t="shared" si="0"/>
        <v>2.3429999999999996E-2</v>
      </c>
      <c r="N4" s="3">
        <f t="shared" si="1"/>
        <v>0.1585</v>
      </c>
      <c r="O4" s="3">
        <f t="shared" si="2"/>
        <v>0.14783333333333334</v>
      </c>
      <c r="P4" s="3">
        <f>$U$2+($U$1-$U$2)*(1+($U$3*N4)^2)^(($U$4-1)/2)</f>
        <v>0.13610856173011621</v>
      </c>
      <c r="Q4" s="3">
        <f t="shared" ref="Q4:Q23" si="3">(O4-P4)^2/O4^2</f>
        <v>6.2901940586294709E-3</v>
      </c>
      <c r="T4" t="s">
        <v>10</v>
      </c>
      <c r="U4">
        <v>0.67262903827383203</v>
      </c>
    </row>
    <row r="5" spans="1:21" x14ac:dyDescent="0.3">
      <c r="A5">
        <v>3.5450000000000002E-2</v>
      </c>
      <c r="B5">
        <v>0.25119999999999998</v>
      </c>
      <c r="C5">
        <v>0.1411</v>
      </c>
      <c r="E5">
        <v>3.9219999999999998E-2</v>
      </c>
      <c r="F5">
        <v>0.25119999999999998</v>
      </c>
      <c r="G5">
        <v>0.15609999999999999</v>
      </c>
      <c r="I5">
        <v>3.1260000000000003E-2</v>
      </c>
      <c r="J5">
        <v>0.25119999999999998</v>
      </c>
      <c r="K5">
        <v>0.1244</v>
      </c>
      <c r="M5" s="3">
        <f t="shared" si="0"/>
        <v>3.5310000000000001E-2</v>
      </c>
      <c r="N5" s="3">
        <f t="shared" si="1"/>
        <v>0.25119999999999998</v>
      </c>
      <c r="O5" s="3">
        <f t="shared" si="2"/>
        <v>0.14053333333333334</v>
      </c>
      <c r="P5" s="3">
        <f t="shared" ref="P4:P23" si="4">$U$2+($U$1-$U$2)*(1+($U$3*N5)^2)^(($U$4-1)/2)</f>
        <v>0.13610307871959446</v>
      </c>
      <c r="Q5" s="3">
        <f t="shared" si="3"/>
        <v>9.9379928074553041E-4</v>
      </c>
      <c r="T5" t="s">
        <v>12</v>
      </c>
      <c r="U5" s="1">
        <f>SUM(Q3:Q23)</f>
        <v>6.5721337561937265E-2</v>
      </c>
    </row>
    <row r="6" spans="1:21" x14ac:dyDescent="0.3">
      <c r="A6">
        <v>5.3940000000000002E-2</v>
      </c>
      <c r="B6">
        <v>0.39810000000000001</v>
      </c>
      <c r="C6">
        <v>0.13550000000000001</v>
      </c>
      <c r="E6">
        <v>6.0330000000000002E-2</v>
      </c>
      <c r="F6">
        <v>0.39810000000000001</v>
      </c>
      <c r="G6">
        <v>0.1515</v>
      </c>
      <c r="I6">
        <v>4.9639999999999997E-2</v>
      </c>
      <c r="J6">
        <v>0.39810000000000001</v>
      </c>
      <c r="K6">
        <v>0.12470000000000001</v>
      </c>
      <c r="M6" s="3">
        <f t="shared" si="0"/>
        <v>5.4636666666666667E-2</v>
      </c>
      <c r="N6" s="3">
        <f t="shared" si="1"/>
        <v>0.39810000000000006</v>
      </c>
      <c r="O6" s="3">
        <f t="shared" si="2"/>
        <v>0.13723333333333335</v>
      </c>
      <c r="P6" s="3">
        <f t="shared" si="4"/>
        <v>0.13608931548066003</v>
      </c>
      <c r="Q6" s="3">
        <f t="shared" si="3"/>
        <v>6.9493851038313585E-5</v>
      </c>
    </row>
    <row r="7" spans="1:21" x14ac:dyDescent="0.3">
      <c r="A7">
        <v>8.276E-2</v>
      </c>
      <c r="B7">
        <v>0.63090000000000002</v>
      </c>
      <c r="C7">
        <v>0.13120000000000001</v>
      </c>
      <c r="E7">
        <v>9.3149999999999997E-2</v>
      </c>
      <c r="F7">
        <v>0.63090000000000002</v>
      </c>
      <c r="G7">
        <v>0.14760000000000001</v>
      </c>
      <c r="I7">
        <v>7.8409999999999994E-2</v>
      </c>
      <c r="J7">
        <v>0.63090000000000002</v>
      </c>
      <c r="K7">
        <v>0.12429999999999999</v>
      </c>
      <c r="M7" s="3">
        <f t="shared" si="0"/>
        <v>8.4773333333333326E-2</v>
      </c>
      <c r="N7" s="3">
        <f t="shared" si="1"/>
        <v>0.63090000000000002</v>
      </c>
      <c r="O7" s="3">
        <f t="shared" si="2"/>
        <v>0.13436666666666666</v>
      </c>
      <c r="P7" s="3">
        <f t="shared" si="4"/>
        <v>0.13605479316412925</v>
      </c>
      <c r="Q7" s="3">
        <f t="shared" si="3"/>
        <v>1.578435670004845E-4</v>
      </c>
    </row>
    <row r="8" spans="1:21" x14ac:dyDescent="0.3">
      <c r="A8">
        <v>0.1293</v>
      </c>
      <c r="B8">
        <v>1</v>
      </c>
      <c r="C8">
        <v>0.1293</v>
      </c>
      <c r="E8">
        <v>0.14899999999999999</v>
      </c>
      <c r="F8">
        <v>0.99990000000000001</v>
      </c>
      <c r="G8">
        <v>0.14899999999999999</v>
      </c>
      <c r="I8">
        <v>0.1245</v>
      </c>
      <c r="J8">
        <v>1</v>
      </c>
      <c r="K8">
        <v>0.1245</v>
      </c>
      <c r="M8" s="3">
        <f t="shared" si="0"/>
        <v>0.13426666666666667</v>
      </c>
      <c r="N8" s="3">
        <f t="shared" si="1"/>
        <v>0.99996666666666678</v>
      </c>
      <c r="O8" s="3">
        <f t="shared" si="2"/>
        <v>0.13426666666666667</v>
      </c>
      <c r="P8" s="3">
        <f t="shared" si="4"/>
        <v>0.13596832795364919</v>
      </c>
      <c r="Q8" s="3">
        <f t="shared" si="3"/>
        <v>1.6062377299158424E-4</v>
      </c>
    </row>
    <row r="9" spans="1:21" x14ac:dyDescent="0.3">
      <c r="A9">
        <v>0.20330000000000001</v>
      </c>
      <c r="B9">
        <v>1.585</v>
      </c>
      <c r="C9">
        <v>0.1283</v>
      </c>
      <c r="E9">
        <v>0.23089999999999999</v>
      </c>
      <c r="F9">
        <v>1.585</v>
      </c>
      <c r="G9">
        <v>0.1457</v>
      </c>
      <c r="I9">
        <v>0.1966</v>
      </c>
      <c r="J9">
        <v>1.585</v>
      </c>
      <c r="K9">
        <v>0.124</v>
      </c>
      <c r="M9" s="3">
        <f t="shared" si="0"/>
        <v>0.21026666666666669</v>
      </c>
      <c r="N9" s="3">
        <f t="shared" si="1"/>
        <v>1.585</v>
      </c>
      <c r="O9" s="3">
        <f t="shared" si="2"/>
        <v>0.13266666666666668</v>
      </c>
      <c r="P9" s="3">
        <f t="shared" si="4"/>
        <v>0.13575280353601801</v>
      </c>
      <c r="Q9" s="3">
        <f t="shared" si="3"/>
        <v>5.4113637905183355E-4</v>
      </c>
    </row>
    <row r="10" spans="1:21" x14ac:dyDescent="0.3">
      <c r="A10">
        <v>0.31940000000000002</v>
      </c>
      <c r="B10">
        <v>2.512</v>
      </c>
      <c r="C10">
        <v>0.12720000000000001</v>
      </c>
      <c r="E10">
        <v>0.35139999999999999</v>
      </c>
      <c r="F10">
        <v>2.512</v>
      </c>
      <c r="G10">
        <v>0.1399</v>
      </c>
      <c r="I10">
        <v>0.31040000000000001</v>
      </c>
      <c r="J10">
        <v>2.512</v>
      </c>
      <c r="K10">
        <v>0.1236</v>
      </c>
      <c r="M10" s="3">
        <f t="shared" si="0"/>
        <v>0.32706666666666667</v>
      </c>
      <c r="N10" s="3">
        <f t="shared" si="1"/>
        <v>2.512</v>
      </c>
      <c r="O10" s="3">
        <f t="shared" si="2"/>
        <v>0.13023333333333334</v>
      </c>
      <c r="P10" s="3">
        <f t="shared" si="4"/>
        <v>0.13522211556028821</v>
      </c>
      <c r="Q10" s="3">
        <f t="shared" si="3"/>
        <v>1.4673873796366167E-3</v>
      </c>
    </row>
    <row r="11" spans="1:21" x14ac:dyDescent="0.3">
      <c r="A11">
        <v>0.50029999999999997</v>
      </c>
      <c r="B11">
        <v>3.9809999999999999</v>
      </c>
      <c r="C11">
        <v>0.12570000000000001</v>
      </c>
      <c r="E11">
        <v>0.53359999999999996</v>
      </c>
      <c r="F11">
        <v>3.9809999999999999</v>
      </c>
      <c r="G11">
        <v>0.1341</v>
      </c>
      <c r="I11">
        <v>0.48509999999999998</v>
      </c>
      <c r="J11">
        <v>3.9809999999999999</v>
      </c>
      <c r="K11">
        <v>0.12189999999999999</v>
      </c>
      <c r="M11" s="3">
        <f t="shared" si="0"/>
        <v>0.50633333333333341</v>
      </c>
      <c r="N11" s="3">
        <f t="shared" si="1"/>
        <v>3.9809999999999999</v>
      </c>
      <c r="O11" s="3">
        <f t="shared" si="2"/>
        <v>0.12723333333333334</v>
      </c>
      <c r="P11" s="3">
        <f t="shared" si="4"/>
        <v>0.13395172056689489</v>
      </c>
      <c r="Q11" s="3">
        <f t="shared" si="3"/>
        <v>2.7882278038766184E-3</v>
      </c>
    </row>
    <row r="12" spans="1:21" x14ac:dyDescent="0.3">
      <c r="A12">
        <v>0.76970000000000005</v>
      </c>
      <c r="B12">
        <v>6.31</v>
      </c>
      <c r="C12">
        <v>0.122</v>
      </c>
      <c r="E12">
        <v>0.80859999999999999</v>
      </c>
      <c r="F12">
        <v>6.3090000000000002</v>
      </c>
      <c r="G12">
        <v>0.12820000000000001</v>
      </c>
      <c r="I12">
        <v>0.749</v>
      </c>
      <c r="J12">
        <v>6.31</v>
      </c>
      <c r="K12">
        <v>0.1187</v>
      </c>
      <c r="M12" s="3">
        <f t="shared" si="0"/>
        <v>0.77576666666666672</v>
      </c>
      <c r="N12" s="3">
        <f t="shared" si="1"/>
        <v>6.3096666666666659</v>
      </c>
      <c r="O12" s="3">
        <f t="shared" si="2"/>
        <v>0.12296666666666667</v>
      </c>
      <c r="P12" s="3">
        <f t="shared" si="4"/>
        <v>0.13109688365853112</v>
      </c>
      <c r="Q12" s="3">
        <f t="shared" si="3"/>
        <v>4.3714898337118705E-3</v>
      </c>
    </row>
    <row r="13" spans="1:21" x14ac:dyDescent="0.3">
      <c r="A13">
        <v>1.173</v>
      </c>
      <c r="B13">
        <v>10</v>
      </c>
      <c r="C13">
        <v>0.1173</v>
      </c>
      <c r="E13">
        <v>1.2110000000000001</v>
      </c>
      <c r="F13">
        <v>10</v>
      </c>
      <c r="G13">
        <v>0.1211</v>
      </c>
      <c r="I13">
        <v>1.143</v>
      </c>
      <c r="J13">
        <v>10</v>
      </c>
      <c r="K13">
        <v>0.1143</v>
      </c>
      <c r="M13" s="3">
        <f t="shared" si="0"/>
        <v>1.1756666666666666</v>
      </c>
      <c r="N13" s="3">
        <f t="shared" si="1"/>
        <v>10</v>
      </c>
      <c r="O13" s="3">
        <f t="shared" si="2"/>
        <v>0.11756666666666667</v>
      </c>
      <c r="P13" s="3">
        <f t="shared" si="4"/>
        <v>0.12544182340393326</v>
      </c>
      <c r="Q13" s="3">
        <f t="shared" si="3"/>
        <v>4.48693731775538E-3</v>
      </c>
    </row>
    <row r="14" spans="1:21" x14ac:dyDescent="0.3">
      <c r="A14">
        <v>1.756</v>
      </c>
      <c r="B14">
        <v>15.85</v>
      </c>
      <c r="C14">
        <v>0.1108</v>
      </c>
      <c r="E14">
        <v>1.794</v>
      </c>
      <c r="F14">
        <v>15.85</v>
      </c>
      <c r="G14">
        <v>0.1132</v>
      </c>
      <c r="I14">
        <v>1.714</v>
      </c>
      <c r="J14">
        <v>15.85</v>
      </c>
      <c r="K14">
        <v>0.1082</v>
      </c>
      <c r="M14" s="3">
        <f t="shared" si="0"/>
        <v>1.7546666666666664</v>
      </c>
      <c r="N14" s="3">
        <f t="shared" si="1"/>
        <v>15.85</v>
      </c>
      <c r="O14" s="3">
        <f t="shared" si="2"/>
        <v>0.11073333333333334</v>
      </c>
      <c r="P14" s="3">
        <f t="shared" si="4"/>
        <v>0.11625797355320851</v>
      </c>
      <c r="Q14" s="3">
        <f t="shared" si="3"/>
        <v>2.4891510669529985E-3</v>
      </c>
    </row>
    <row r="15" spans="1:21" x14ac:dyDescent="0.3">
      <c r="A15">
        <v>2.5779999999999998</v>
      </c>
      <c r="B15">
        <v>25.12</v>
      </c>
      <c r="C15">
        <v>0.1026</v>
      </c>
      <c r="E15">
        <v>2.625</v>
      </c>
      <c r="F15">
        <v>25.12</v>
      </c>
      <c r="G15">
        <v>0.1045</v>
      </c>
      <c r="I15">
        <v>2.5249999999999999</v>
      </c>
      <c r="J15">
        <v>25.12</v>
      </c>
      <c r="K15">
        <v>0.10050000000000001</v>
      </c>
      <c r="M15" s="3">
        <f t="shared" si="0"/>
        <v>2.5760000000000001</v>
      </c>
      <c r="N15" s="3">
        <f t="shared" si="1"/>
        <v>25.12</v>
      </c>
      <c r="O15" s="3">
        <f t="shared" si="2"/>
        <v>0.10253333333333332</v>
      </c>
      <c r="P15" s="3">
        <f t="shared" si="4"/>
        <v>0.10441652053476799</v>
      </c>
      <c r="Q15" s="3">
        <f t="shared" si="3"/>
        <v>3.3733145152480969E-4</v>
      </c>
    </row>
    <row r="16" spans="1:21" x14ac:dyDescent="0.3">
      <c r="A16">
        <v>3.7149999999999999</v>
      </c>
      <c r="B16">
        <v>39.81</v>
      </c>
      <c r="C16">
        <v>9.3310000000000004E-2</v>
      </c>
      <c r="E16">
        <v>3.7639999999999998</v>
      </c>
      <c r="F16">
        <v>39.81</v>
      </c>
      <c r="G16">
        <v>9.4549999999999995E-2</v>
      </c>
      <c r="I16">
        <v>3.6469999999999998</v>
      </c>
      <c r="J16">
        <v>39.81</v>
      </c>
      <c r="K16">
        <v>9.1619999999999993E-2</v>
      </c>
      <c r="M16" s="3">
        <f t="shared" si="0"/>
        <v>3.7086666666666663</v>
      </c>
      <c r="N16" s="3">
        <f t="shared" si="1"/>
        <v>39.81</v>
      </c>
      <c r="O16" s="3">
        <f t="shared" si="2"/>
        <v>9.3160000000000007E-2</v>
      </c>
      <c r="P16" s="3">
        <f t="shared" si="4"/>
        <v>9.1784824588274652E-2</v>
      </c>
      <c r="Q16" s="3">
        <f t="shared" si="3"/>
        <v>2.1790000354588761E-4</v>
      </c>
    </row>
    <row r="17" spans="1:17" x14ac:dyDescent="0.3">
      <c r="A17">
        <v>5.2519999999999998</v>
      </c>
      <c r="B17">
        <v>63.1</v>
      </c>
      <c r="C17">
        <v>8.3229999999999998E-2</v>
      </c>
      <c r="E17">
        <v>5.29</v>
      </c>
      <c r="F17">
        <v>63.1</v>
      </c>
      <c r="G17">
        <v>8.3839999999999998E-2</v>
      </c>
      <c r="I17">
        <v>5.165</v>
      </c>
      <c r="J17">
        <v>63.1</v>
      </c>
      <c r="K17">
        <v>8.1850000000000006E-2</v>
      </c>
      <c r="M17" s="3">
        <f t="shared" si="0"/>
        <v>5.2356666666666669</v>
      </c>
      <c r="N17" s="3">
        <f t="shared" si="1"/>
        <v>63.1</v>
      </c>
      <c r="O17" s="3">
        <f t="shared" si="2"/>
        <v>8.2973333333333329E-2</v>
      </c>
      <c r="P17" s="3">
        <f t="shared" si="4"/>
        <v>7.9777306312887E-2</v>
      </c>
      <c r="Q17" s="3">
        <f t="shared" si="3"/>
        <v>1.483692186253088E-3</v>
      </c>
    </row>
    <row r="18" spans="1:17" x14ac:dyDescent="0.3">
      <c r="A18">
        <v>7.2939999999999996</v>
      </c>
      <c r="B18">
        <v>100</v>
      </c>
      <c r="C18">
        <v>7.2950000000000001E-2</v>
      </c>
      <c r="E18">
        <v>7.3150000000000004</v>
      </c>
      <c r="F18">
        <v>100</v>
      </c>
      <c r="G18">
        <v>7.3150000000000007E-2</v>
      </c>
      <c r="I18">
        <v>7.1820000000000004</v>
      </c>
      <c r="J18">
        <v>100</v>
      </c>
      <c r="K18">
        <v>7.1819999999999995E-2</v>
      </c>
      <c r="M18" s="3">
        <f t="shared" si="0"/>
        <v>7.2636666666666665</v>
      </c>
      <c r="N18" s="3">
        <f t="shared" si="1"/>
        <v>100</v>
      </c>
      <c r="O18" s="3">
        <f t="shared" si="2"/>
        <v>7.2639999999999996E-2</v>
      </c>
      <c r="P18" s="3">
        <f t="shared" si="4"/>
        <v>6.9004717797200757E-2</v>
      </c>
      <c r="Q18" s="3">
        <f t="shared" si="3"/>
        <v>2.5045204926300775E-3</v>
      </c>
    </row>
    <row r="19" spans="1:17" x14ac:dyDescent="0.3">
      <c r="A19">
        <v>9.9619999999999997</v>
      </c>
      <c r="B19">
        <v>158.5</v>
      </c>
      <c r="C19">
        <v>6.2859999999999999E-2</v>
      </c>
      <c r="E19">
        <v>9.952</v>
      </c>
      <c r="F19">
        <v>158.5</v>
      </c>
      <c r="G19">
        <v>6.2789999999999999E-2</v>
      </c>
      <c r="I19">
        <v>9.8149999999999995</v>
      </c>
      <c r="J19">
        <v>158.5</v>
      </c>
      <c r="K19">
        <v>6.1929999999999999E-2</v>
      </c>
      <c r="M19" s="3">
        <f t="shared" si="0"/>
        <v>9.9096666666666664</v>
      </c>
      <c r="N19" s="3">
        <f t="shared" si="1"/>
        <v>158.5</v>
      </c>
      <c r="O19" s="3">
        <f t="shared" si="2"/>
        <v>6.2526666666666661E-2</v>
      </c>
      <c r="P19" s="3">
        <f t="shared" si="4"/>
        <v>5.9573831052485246E-2</v>
      </c>
      <c r="Q19" s="3">
        <f t="shared" si="3"/>
        <v>2.23022144178439E-3</v>
      </c>
    </row>
    <row r="20" spans="1:17" x14ac:dyDescent="0.3">
      <c r="A20">
        <v>13.4</v>
      </c>
      <c r="B20">
        <v>251.2</v>
      </c>
      <c r="C20">
        <v>5.3339999999999999E-2</v>
      </c>
      <c r="E20">
        <v>13.36</v>
      </c>
      <c r="F20">
        <v>251.2</v>
      </c>
      <c r="G20">
        <v>5.3190000000000001E-2</v>
      </c>
      <c r="I20">
        <v>13.22</v>
      </c>
      <c r="J20">
        <v>251.2</v>
      </c>
      <c r="K20">
        <v>5.262E-2</v>
      </c>
      <c r="M20" s="3">
        <f t="shared" si="0"/>
        <v>13.326666666666666</v>
      </c>
      <c r="N20" s="3">
        <f t="shared" si="1"/>
        <v>251.19999999999996</v>
      </c>
      <c r="O20" s="3">
        <f t="shared" si="2"/>
        <v>5.3050000000000007E-2</v>
      </c>
      <c r="P20" s="3">
        <f t="shared" si="4"/>
        <v>5.1407167825486912E-2</v>
      </c>
      <c r="Q20" s="3">
        <f t="shared" si="3"/>
        <v>9.5899341084173574E-4</v>
      </c>
    </row>
    <row r="21" spans="1:17" x14ac:dyDescent="0.3">
      <c r="A21">
        <v>17.86</v>
      </c>
      <c r="B21">
        <v>398.1</v>
      </c>
      <c r="C21">
        <v>4.487E-2</v>
      </c>
      <c r="E21">
        <v>17.79</v>
      </c>
      <c r="F21">
        <v>398.1</v>
      </c>
      <c r="G21">
        <v>4.4690000000000001E-2</v>
      </c>
      <c r="I21">
        <v>17.66</v>
      </c>
      <c r="J21">
        <v>398.1</v>
      </c>
      <c r="K21">
        <v>4.437E-2</v>
      </c>
      <c r="M21" s="3">
        <f t="shared" si="0"/>
        <v>17.77</v>
      </c>
      <c r="N21" s="3">
        <f t="shared" si="1"/>
        <v>398.10000000000008</v>
      </c>
      <c r="O21" s="3">
        <f t="shared" si="2"/>
        <v>4.4643333333333333E-2</v>
      </c>
      <c r="P21" s="3">
        <f t="shared" si="4"/>
        <v>4.4364140982595321E-2</v>
      </c>
      <c r="Q21" s="3">
        <f t="shared" si="3"/>
        <v>3.9110539121621562E-5</v>
      </c>
    </row>
    <row r="22" spans="1:17" x14ac:dyDescent="0.3">
      <c r="A22">
        <v>23.7</v>
      </c>
      <c r="B22">
        <v>630.9</v>
      </c>
      <c r="C22">
        <v>3.7560000000000003E-2</v>
      </c>
      <c r="E22">
        <v>23.67</v>
      </c>
      <c r="F22">
        <v>630.9</v>
      </c>
      <c r="G22">
        <v>3.7519999999999998E-2</v>
      </c>
      <c r="I22">
        <v>23.59</v>
      </c>
      <c r="J22">
        <v>630.9</v>
      </c>
      <c r="K22">
        <v>3.7379999999999997E-2</v>
      </c>
      <c r="M22" s="3">
        <f t="shared" si="0"/>
        <v>23.653333333333336</v>
      </c>
      <c r="N22" s="3">
        <f t="shared" si="1"/>
        <v>630.9</v>
      </c>
      <c r="O22" s="3">
        <f t="shared" si="2"/>
        <v>3.7486666666666668E-2</v>
      </c>
      <c r="P22" s="3">
        <f t="shared" si="4"/>
        <v>3.829994823172006E-2</v>
      </c>
      <c r="Q22" s="3">
        <f t="shared" si="3"/>
        <v>4.7068266883385564E-4</v>
      </c>
    </row>
    <row r="23" spans="1:17" x14ac:dyDescent="0.3">
      <c r="A23">
        <v>31.34</v>
      </c>
      <c r="B23">
        <v>999.3</v>
      </c>
      <c r="C23">
        <v>3.1359999999999999E-2</v>
      </c>
      <c r="E23">
        <v>31.37</v>
      </c>
      <c r="F23">
        <v>999.3</v>
      </c>
      <c r="G23">
        <v>3.1390000000000001E-2</v>
      </c>
      <c r="I23">
        <v>31.37</v>
      </c>
      <c r="J23">
        <v>999.3</v>
      </c>
      <c r="K23">
        <v>3.1399999999999997E-2</v>
      </c>
      <c r="M23" s="3">
        <f t="shared" si="0"/>
        <v>31.36</v>
      </c>
      <c r="N23" s="3">
        <f t="shared" si="1"/>
        <v>999.29999999999984</v>
      </c>
      <c r="O23" s="3">
        <f t="shared" si="2"/>
        <v>3.1383333333333333E-2</v>
      </c>
      <c r="P23" s="3">
        <f t="shared" si="4"/>
        <v>3.3087591218836795E-2</v>
      </c>
      <c r="Q23" s="3">
        <f t="shared" si="3"/>
        <v>2.9489844667940834E-3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2026-03-27T05:39:44Z</dcterms:created>
  <dcterms:modified xsi:type="dcterms:W3CDTF">2026-03-27T06:01:30Z</dcterms:modified>
</cp:coreProperties>
</file>